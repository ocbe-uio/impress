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defaultThemeVersion="124226"/>
  <bookViews>
    <workbookView xWindow="1875" yWindow="285" windowWidth="20640" windowHeight="11760" activeTab="2"/>
  </bookViews>
  <sheets>
    <sheet name="A-Recurrent glioblastoma" sheetId="1" r:id="rId1"/>
    <sheet name="A-Newly diagnose glioblastomas " sheetId="2" r:id="rId2"/>
    <sheet name="B- Brain metastases" sheetId="3" r:id="rId3"/>
    <sheet name="Treatment groups" sheetId="4" r:id="rId4"/>
    <sheet name="Ark1" sheetId="5" r:id="rId5"/>
    <sheet name="Ark2" sheetId="6" r:id="rId6"/>
  </sheets>
  <definedNames>
    <definedName name="_xlnm.Print_Area" localSheetId="1">'A-Newly diagnose glioblastomas '!$A$1:$H$43</definedName>
    <definedName name="_xlnm.Print_Area" localSheetId="0">'A-Recurrent glioblastoma'!$A$1:$H$45</definedName>
    <definedName name="_xlnm.Print_Area" localSheetId="2">'B- Brain metastases'!$A$1:$G$40</definedName>
    <definedName name="_xlnm.Print_Titles" localSheetId="1">'A-Newly diagnose glioblastomas '!$A:$A</definedName>
    <definedName name="_xlnm.Print_Titles" localSheetId="0">'A-Recurrent glioblastoma'!$A:$A</definedName>
    <definedName name="_xlnm.Print_Titles" localSheetId="2">'B- Brain metastases'!$A:$A</definedName>
    <definedName name="Z_E0FF57D7_F57B_4236_B386_D0AB0515A6B2_.wvu.PrintArea" localSheetId="1" hidden="1">'A-Newly diagnose glioblastomas '!$A$1:$H$43</definedName>
    <definedName name="Z_E0FF57D7_F57B_4236_B386_D0AB0515A6B2_.wvu.PrintArea" localSheetId="0" hidden="1">'A-Recurrent glioblastoma'!$A$1:$H$45</definedName>
    <definedName name="Z_E0FF57D7_F57B_4236_B386_D0AB0515A6B2_.wvu.PrintArea" localSheetId="2" hidden="1">'B- Brain metastases'!$A$1:$G$40</definedName>
    <definedName name="Z_E0FF57D7_F57B_4236_B386_D0AB0515A6B2_.wvu.PrintTitles" localSheetId="1" hidden="1">'A-Newly diagnose glioblastomas '!$A:$A</definedName>
    <definedName name="Z_E0FF57D7_F57B_4236_B386_D0AB0515A6B2_.wvu.PrintTitles" localSheetId="0" hidden="1">'A-Recurrent glioblastoma'!$A:$A</definedName>
    <definedName name="Z_E0FF57D7_F57B_4236_B386_D0AB0515A6B2_.wvu.PrintTitles" localSheetId="2" hidden="1">'B- Brain metastases'!$A:$A</definedName>
    <definedName name="Z_E0FF57D7_F57B_4236_B386_D0AB0515A6B2_.wvu.Rows" localSheetId="1" hidden="1">'A-Newly diagnose glioblastomas '!#REF!</definedName>
    <definedName name="Z_E0FF57D7_F57B_4236_B386_D0AB0515A6B2_.wvu.Rows" localSheetId="0" hidden="1">'A-Recurrent glioblastoma'!#REF!</definedName>
    <definedName name="Z_E0FF57D7_F57B_4236_B386_D0AB0515A6B2_.wvu.Rows" localSheetId="2" hidden="1">'B- Brain metastases'!#REF!</definedName>
    <definedName name="Z_E175C034_7BBF_422C_BD22_4ED71AA8C1DA_.wvu.PrintArea" localSheetId="1" hidden="1">'A-Newly diagnose glioblastomas '!$A$1:$H$43</definedName>
    <definedName name="Z_E175C034_7BBF_422C_BD22_4ED71AA8C1DA_.wvu.PrintArea" localSheetId="0" hidden="1">'A-Recurrent glioblastoma'!$A$1:$H$45</definedName>
    <definedName name="Z_E175C034_7BBF_422C_BD22_4ED71AA8C1DA_.wvu.PrintArea" localSheetId="2" hidden="1">'B- Brain metastases'!$A$1:$G$40</definedName>
    <definedName name="Z_E175C034_7BBF_422C_BD22_4ED71AA8C1DA_.wvu.PrintTitles" localSheetId="1" hidden="1">'A-Newly diagnose glioblastomas '!$A:$A</definedName>
    <definedName name="Z_E175C034_7BBF_422C_BD22_4ED71AA8C1DA_.wvu.PrintTitles" localSheetId="0" hidden="1">'A-Recurrent glioblastoma'!$A:$A</definedName>
    <definedName name="Z_E175C034_7BBF_422C_BD22_4ED71AA8C1DA_.wvu.PrintTitles" localSheetId="2" hidden="1">'B- Brain metastases'!$A:$A</definedName>
    <definedName name="Z_E175C034_7BBF_422C_BD22_4ED71AA8C1DA_.wvu.Rows" localSheetId="1" hidden="1">'A-Newly diagnose glioblastomas '!#REF!</definedName>
    <definedName name="Z_E175C034_7BBF_422C_BD22_4ED71AA8C1DA_.wvu.Rows" localSheetId="0" hidden="1">'A-Recurrent glioblastoma'!#REF!</definedName>
    <definedName name="Z_E175C034_7BBF_422C_BD22_4ED71AA8C1DA_.wvu.Rows" localSheetId="2" hidden="1">'B- Brain metastases'!#REF!</definedName>
  </definedNames>
  <calcPr calcId="145621"/>
  <customWorkbookViews>
    <customWorkbookView name="Petter Brandal - Personlig visning" guid="{E175C034-7BBF-422C-BD22-4ED71AA8C1DA}" mergeInterval="0" personalView="1" maximized="1" windowWidth="1920" windowHeight="974" activeSheetId="2"/>
    <customWorkbookView name="Catharina Maria van der Lelie Granlund - Personlig visning" guid="{E0FF57D7-F57B-4236-B386-D0AB0515A6B2}" mergeInterval="0" personalView="1" maximized="1" windowWidth="1920" windowHeight="994" activeSheetId="2" showComments="commIndAndComment"/>
  </customWorkbookViews>
</workbook>
</file>

<file path=xl/calcChain.xml><?xml version="1.0" encoding="utf-8"?>
<calcChain xmlns="http://schemas.openxmlformats.org/spreadsheetml/2006/main">
  <c r="Q7" i="3" l="1"/>
  <c r="AA6" i="2"/>
  <c r="Z6" i="2"/>
  <c r="V6" i="1"/>
  <c r="U6" i="1" l="1"/>
  <c r="X6" i="2" l="1"/>
  <c r="I7" i="3" l="1"/>
  <c r="P7" i="3"/>
  <c r="K7" i="3"/>
  <c r="N7" i="3" s="1"/>
  <c r="H7" i="3"/>
  <c r="S6" i="1"/>
  <c r="L7" i="3" l="1"/>
  <c r="G6" i="1"/>
  <c r="H6" i="1" s="1"/>
  <c r="I6" i="1" l="1"/>
  <c r="J6" i="1" s="1"/>
  <c r="K6" i="1" s="1"/>
  <c r="L6" i="1" s="1"/>
  <c r="M6" i="1" s="1"/>
  <c r="N6" i="1" s="1"/>
  <c r="O6" i="1" s="1"/>
  <c r="P6" i="1" s="1"/>
  <c r="Q6" i="1" s="1"/>
  <c r="R6" i="1" s="1"/>
  <c r="O7" i="3"/>
  <c r="G6" i="2"/>
  <c r="H6" i="2" s="1"/>
  <c r="I6" i="2" s="1"/>
  <c r="J6" i="2" s="1"/>
  <c r="K6" i="2" s="1"/>
  <c r="L6" i="2" s="1"/>
  <c r="M6" i="2" s="1"/>
  <c r="N6" i="2" s="1"/>
  <c r="O6" i="2" s="1"/>
  <c r="P6" i="2" s="1"/>
  <c r="Q6" i="2" s="1"/>
  <c r="R6" i="2" s="1"/>
  <c r="S6" i="2" s="1"/>
  <c r="T6" i="2" s="1"/>
  <c r="U6" i="2" s="1"/>
  <c r="V6" i="2" s="1"/>
  <c r="W6" i="2" s="1"/>
</calcChain>
</file>

<file path=xl/sharedStrings.xml><?xml version="1.0" encoding="utf-8"?>
<sst xmlns="http://schemas.openxmlformats.org/spreadsheetml/2006/main" count="933" uniqueCount="297">
  <si>
    <t>Screening</t>
  </si>
  <si>
    <t>MBK</t>
  </si>
  <si>
    <t>Avdeling</t>
  </si>
  <si>
    <t xml:space="preserve">1 </t>
  </si>
  <si>
    <t>TREATMENT PERIOD</t>
  </si>
  <si>
    <t>Subject No.:</t>
  </si>
  <si>
    <t>Concommitant medication</t>
  </si>
  <si>
    <t>Week</t>
  </si>
  <si>
    <t xml:space="preserve">Planned Visit Date </t>
  </si>
  <si>
    <t>Actual Visit Date</t>
  </si>
  <si>
    <t>Cycle 1</t>
  </si>
  <si>
    <t>Cycle 2</t>
  </si>
  <si>
    <t>Cycle 6</t>
  </si>
  <si>
    <t>Cycle 9</t>
  </si>
  <si>
    <t>Cycle  3</t>
  </si>
  <si>
    <t>Cycle 4</t>
  </si>
  <si>
    <t>Cycle 5</t>
  </si>
  <si>
    <t>Cycle 7</t>
  </si>
  <si>
    <t>Cycle 8</t>
  </si>
  <si>
    <t>Tidspunkt</t>
  </si>
  <si>
    <t>Oppfølging</t>
  </si>
  <si>
    <t>Handling</t>
  </si>
  <si>
    <t>6-mnd evaluering (MRI)</t>
  </si>
  <si>
    <t>MRI og fysisk us hver 3. mnd</t>
  </si>
  <si>
    <t>12-mnd evaluering</t>
  </si>
  <si>
    <t>Stopp behandling ved SD/PR/CR (RANO kriterier)</t>
  </si>
  <si>
    <t>AKB</t>
  </si>
  <si>
    <t>Cycle 10</t>
  </si>
  <si>
    <t>Cycle 11</t>
  </si>
  <si>
    <t>Cycle 12</t>
  </si>
  <si>
    <t>Dosegrupper</t>
  </si>
  <si>
    <t>Temozolomide 150mg/m2 - 5 dager/hver 4.uke</t>
  </si>
  <si>
    <t>Bortezomib 1,3mg/m3 - dag 1,4,7/ hver 4.uke</t>
  </si>
  <si>
    <t>Temozolomide 175mg/m2 - 5 dager/hver 4.uke</t>
  </si>
  <si>
    <t>Temozolomide 200mg/m2 - 5 dager/hver 4.uke</t>
  </si>
  <si>
    <t>63 pasienter totalt</t>
  </si>
  <si>
    <t>første 3 pasienter - ved ingen grad 3-4 toksisitet - videre til neste gruppe</t>
  </si>
  <si>
    <t>dosemål</t>
  </si>
  <si>
    <t>neste 3 pasienter - ved ingen grad 3-4 toksisitet - videre til neste gruppe</t>
  </si>
  <si>
    <t xml:space="preserve">APO/AKB </t>
  </si>
  <si>
    <t>X</t>
  </si>
  <si>
    <t>Cycle 13</t>
  </si>
  <si>
    <t>-3 days start treatment protocol</t>
  </si>
  <si>
    <t>Informed Consent</t>
  </si>
  <si>
    <t>Inclusion/exclusion criteria</t>
  </si>
  <si>
    <t>Randomization</t>
  </si>
  <si>
    <t>Cycle 14</t>
  </si>
  <si>
    <t>Cycle 15</t>
  </si>
  <si>
    <t>Cycle 16</t>
  </si>
  <si>
    <t>Cycle 17</t>
  </si>
  <si>
    <t>Cycle 18</t>
  </si>
  <si>
    <t>KRN</t>
  </si>
  <si>
    <t>Pregnancy test (blood)</t>
  </si>
  <si>
    <t xml:space="preserve">Demography, med. history, prior treatment                                                                                                                                                                                                                         </t>
  </si>
  <si>
    <t>Day in study (Day 1 in every Cycle)</t>
  </si>
  <si>
    <t>Radiation Therapy</t>
  </si>
  <si>
    <t>KRE</t>
  </si>
  <si>
    <t>O</t>
  </si>
  <si>
    <r>
      <t xml:space="preserve">Cycle </t>
    </r>
    <r>
      <rPr>
        <sz val="14"/>
        <rFont val="Arial Narrow"/>
        <family val="2"/>
      </rPr>
      <t xml:space="preserve">(14 day-cycle)
</t>
    </r>
    <r>
      <rPr>
        <b/>
        <sz val="16"/>
        <rFont val="Arial Narrow"/>
        <family val="2"/>
      </rPr>
      <t>O</t>
    </r>
    <r>
      <rPr>
        <sz val="14"/>
        <rFont val="Arial Narrow"/>
        <family val="2"/>
      </rPr>
      <t xml:space="preserve"> = standard treatment procedures
</t>
    </r>
    <r>
      <rPr>
        <b/>
        <sz val="16"/>
        <rFont val="Arial Narrow"/>
        <family val="2"/>
      </rPr>
      <t>X</t>
    </r>
    <r>
      <rPr>
        <sz val="14"/>
        <rFont val="Arial Narrow"/>
        <family val="2"/>
      </rPr>
      <t xml:space="preserve"> = study specific procedures</t>
    </r>
  </si>
  <si>
    <t>O-5 days</t>
  </si>
  <si>
    <t>Screening
1-3 weeks after surgery</t>
  </si>
  <si>
    <t>(X)</t>
  </si>
  <si>
    <t>QoL = QLQ-C30 + QLQ-BN20 (Norsk)</t>
  </si>
  <si>
    <t>Bloodtest: Protocol CNS New-male/female</t>
  </si>
  <si>
    <t>FOLLOW-UP PERIOD</t>
  </si>
  <si>
    <t>Steroids dosage</t>
  </si>
  <si>
    <t xml:space="preserve">X </t>
  </si>
  <si>
    <t xml:space="preserve">ECG </t>
  </si>
  <si>
    <t>ECG</t>
  </si>
  <si>
    <r>
      <t xml:space="preserve">12 Months </t>
    </r>
    <r>
      <rPr>
        <b/>
        <u/>
        <sz val="14"/>
        <rFont val="Arial Narrow"/>
        <family val="2"/>
      </rPr>
      <t>+</t>
    </r>
    <r>
      <rPr>
        <b/>
        <sz val="14"/>
        <rFont val="Arial Narrow"/>
        <family val="2"/>
      </rPr>
      <t>7d</t>
    </r>
  </si>
  <si>
    <r>
      <t xml:space="preserve">24 Months </t>
    </r>
    <r>
      <rPr>
        <b/>
        <u/>
        <sz val="14"/>
        <rFont val="Arial Narrow"/>
        <family val="2"/>
      </rPr>
      <t>+</t>
    </r>
    <r>
      <rPr>
        <b/>
        <sz val="14"/>
        <rFont val="Arial Narrow"/>
        <family val="2"/>
      </rPr>
      <t>7d</t>
    </r>
  </si>
  <si>
    <t>X-DAY 270</t>
  </si>
  <si>
    <t>Screening
1-2 weeks after SRS</t>
  </si>
  <si>
    <t>INF</t>
  </si>
  <si>
    <t>And/or</t>
  </si>
  <si>
    <t>IMP/Treatment/AE</t>
  </si>
  <si>
    <r>
      <t>Laboratory tests local</t>
    </r>
    <r>
      <rPr>
        <sz val="16"/>
        <rFont val="Arial Narrow"/>
        <family val="2"/>
      </rPr>
      <t xml:space="preserve"> </t>
    </r>
  </si>
  <si>
    <t>Study procedures</t>
  </si>
  <si>
    <t>ImPRESS</t>
  </si>
  <si>
    <t>Group 3 (day 29 - 42)</t>
  </si>
  <si>
    <t>Group 2 (day 15 - 42)</t>
  </si>
  <si>
    <t>Determination of treatment groups</t>
  </si>
  <si>
    <t>A: Newly diagnosed glioblastoma - AN</t>
  </si>
  <si>
    <t>A: Recurrent glioblastoma - AR</t>
  </si>
  <si>
    <t>B: Brain metastasis - BM</t>
  </si>
  <si>
    <t>Group 1 (day 1 - 270)</t>
  </si>
  <si>
    <t>Group 2 (day 91 - 270)</t>
  </si>
  <si>
    <t>Group 3 (day 181 - 270)</t>
  </si>
  <si>
    <r>
      <rPr>
        <b/>
        <sz val="10"/>
        <rFont val="Arial"/>
        <family val="2"/>
      </rPr>
      <t>Losartan dose</t>
    </r>
    <r>
      <rPr>
        <sz val="10"/>
        <rFont val="Arial"/>
        <family val="2"/>
      </rPr>
      <t xml:space="preserve"> 25mg (n)</t>
    </r>
  </si>
  <si>
    <r>
      <rPr>
        <b/>
        <sz val="10"/>
        <rFont val="Arial"/>
        <family val="2"/>
      </rPr>
      <t>Losartan dose</t>
    </r>
    <r>
      <rPr>
        <sz val="10"/>
        <rFont val="Arial"/>
        <family val="2"/>
      </rPr>
      <t xml:space="preserve"> 50mg (n)</t>
    </r>
  </si>
  <si>
    <r>
      <rPr>
        <b/>
        <sz val="10"/>
        <rFont val="Arial"/>
        <family val="2"/>
      </rPr>
      <t>Losartan dose</t>
    </r>
    <r>
      <rPr>
        <sz val="10"/>
        <rFont val="Arial"/>
        <family val="2"/>
      </rPr>
      <t xml:space="preserve"> 100mg (n)</t>
    </r>
  </si>
  <si>
    <t>X- DAY 91</t>
  </si>
  <si>
    <t>X-DAY 181</t>
  </si>
  <si>
    <t>Cycle 3</t>
  </si>
  <si>
    <t xml:space="preserve"> Week 1 - 13</t>
  </si>
  <si>
    <t xml:space="preserve"> Week 13 -26</t>
  </si>
  <si>
    <t xml:space="preserve"> Week 26 - 39</t>
  </si>
  <si>
    <t>FOLLOW-UP</t>
  </si>
  <si>
    <t>AN1_1 (4)</t>
  </si>
  <si>
    <t>AN3_1 (4)</t>
  </si>
  <si>
    <t>Group 1 (day 01 - 42)</t>
  </si>
  <si>
    <t>AN3_2 (4)</t>
  </si>
  <si>
    <t>AN1_2 (4)</t>
  </si>
  <si>
    <t>AN1_3 (4)</t>
  </si>
  <si>
    <t>AN3_3 (4)</t>
  </si>
  <si>
    <t>AN2_4 (8)</t>
  </si>
  <si>
    <t>AN2_5 (8)</t>
  </si>
  <si>
    <t>AN2_6 (8)</t>
  </si>
  <si>
    <r>
      <rPr>
        <b/>
        <sz val="10"/>
        <rFont val="Arial"/>
        <family val="2"/>
      </rPr>
      <t>Group</t>
    </r>
    <r>
      <rPr>
        <sz val="8"/>
        <rFont val="Arial"/>
        <family val="2"/>
      </rPr>
      <t xml:space="preserve"> (defined by length of treatment - 2nd number in kohort code)</t>
    </r>
  </si>
  <si>
    <t>AR1_1 (4)</t>
  </si>
  <si>
    <t>AR1_2 (4)</t>
  </si>
  <si>
    <t>AR1_3 (4)</t>
  </si>
  <si>
    <t>AR2_4 (8)</t>
  </si>
  <si>
    <t>AR2_5 (8)</t>
  </si>
  <si>
    <t>AR2_6 (8)</t>
  </si>
  <si>
    <t>AR3_1 (4)</t>
  </si>
  <si>
    <t>AR3_2 (4)</t>
  </si>
  <si>
    <t>AR3_3 (4)</t>
  </si>
  <si>
    <t>BM2_1 (12)</t>
  </si>
  <si>
    <t>BM2_2 (12)</t>
  </si>
  <si>
    <t>BM2_3 (12)</t>
  </si>
  <si>
    <t>Losartan Group AR2_4 (50mg)</t>
  </si>
  <si>
    <t>Losartan Group AR2_6 (50mg)</t>
  </si>
  <si>
    <t>Losartan Group AR2_5 (50mg)</t>
  </si>
  <si>
    <t>Group 4 (day 01 - 168)</t>
  </si>
  <si>
    <t>Group 5 (day 15 - 168)</t>
  </si>
  <si>
    <t>Group 6 (day 29 - 168)</t>
  </si>
  <si>
    <t>Group 4 (day 01 - 238)</t>
  </si>
  <si>
    <t>Group 5 (day 15 - 238)</t>
  </si>
  <si>
    <t>Group 6 (day 29 - 238)</t>
  </si>
  <si>
    <t>Losartan Group AN2.4  (50mg)</t>
  </si>
  <si>
    <t>Losartan Group AN2_5 (50mg)</t>
  </si>
  <si>
    <t>Losartan Group BM2_1 (50mg)</t>
  </si>
  <si>
    <t>Losartan Group BM2_2 (50mg)</t>
  </si>
  <si>
    <t>Losartan Group BM2_3 (50mg)</t>
  </si>
  <si>
    <r>
      <rPr>
        <b/>
        <sz val="10"/>
        <rFont val="Arial"/>
        <family val="2"/>
      </rPr>
      <t>Group</t>
    </r>
    <r>
      <rPr>
        <sz val="8"/>
        <rFont val="Arial"/>
        <family val="2"/>
      </rPr>
      <t xml:space="preserve"> (defined by length of treatment - 2nd number in cohort code)</t>
    </r>
  </si>
  <si>
    <t>Within -7 days start chemo</t>
  </si>
  <si>
    <t>Department</t>
  </si>
  <si>
    <t>Blood test: Protocol CNS New-male/female</t>
  </si>
  <si>
    <t>Blood test: Protocol CNS Follow-up (KONT)</t>
  </si>
  <si>
    <t>Losartan Group AN2_6 (50mg)</t>
  </si>
  <si>
    <t>Concomitant and adjuvant temozolomide (tablets)</t>
  </si>
  <si>
    <t>Steroid dosage</t>
  </si>
  <si>
    <t>AE/SAE reporting</t>
  </si>
  <si>
    <t>CCNU (tablets)</t>
  </si>
  <si>
    <t>Bloodtest: Protocol CNS FU (KONT) CCNU</t>
  </si>
  <si>
    <t>Bloodtest for Exploratory Reseach</t>
  </si>
  <si>
    <t>Bloodtest for Exploratory Research</t>
  </si>
  <si>
    <t>Bloodtests : LUNGE-NY</t>
  </si>
  <si>
    <r>
      <t>Bloodtests: IMMUN 2 (w/ immunotherapy)</t>
    </r>
    <r>
      <rPr>
        <b/>
        <vertAlign val="superscript"/>
        <sz val="16"/>
        <rFont val="Arial Narrow"/>
        <family val="2"/>
      </rPr>
      <t>4</t>
    </r>
  </si>
  <si>
    <r>
      <t>Bloodtests: IMMUN 1  (w/ immunotherapy)</t>
    </r>
    <r>
      <rPr>
        <b/>
        <vertAlign val="superscript"/>
        <sz val="16"/>
        <rFont val="Arial Narrow"/>
        <family val="2"/>
      </rPr>
      <t>4</t>
    </r>
  </si>
  <si>
    <t>Bloodtests: LUNGE-kontroll</t>
  </si>
  <si>
    <t>Bloodtests for Exploratory Research</t>
  </si>
  <si>
    <r>
      <t>X</t>
    </r>
    <r>
      <rPr>
        <b/>
        <vertAlign val="superscript"/>
        <sz val="18"/>
        <rFont val="Arial Narrow"/>
        <family val="2"/>
      </rPr>
      <t>2</t>
    </r>
  </si>
  <si>
    <r>
      <t>X</t>
    </r>
    <r>
      <rPr>
        <b/>
        <vertAlign val="superscript"/>
        <sz val="16"/>
        <rFont val="Arial Narrow"/>
        <family val="2"/>
      </rPr>
      <t>2</t>
    </r>
  </si>
  <si>
    <r>
      <t xml:space="preserve">X-DAY 180 </t>
    </r>
    <r>
      <rPr>
        <b/>
        <vertAlign val="superscript"/>
        <sz val="18"/>
        <rFont val="Arial Narrow"/>
        <family val="2"/>
      </rPr>
      <t>6</t>
    </r>
  </si>
  <si>
    <r>
      <t xml:space="preserve">X-DAY 360 </t>
    </r>
    <r>
      <rPr>
        <b/>
        <vertAlign val="superscript"/>
        <sz val="18"/>
        <rFont val="Arial Narrow"/>
        <family val="2"/>
      </rPr>
      <t>6</t>
    </r>
  </si>
  <si>
    <t>NANO + ECOG + KPS score</t>
  </si>
  <si>
    <t>Bloodtest: Protocol CNS FU (KONT) Temodal</t>
  </si>
  <si>
    <r>
      <t xml:space="preserve">O-DAY 360 </t>
    </r>
    <r>
      <rPr>
        <b/>
        <vertAlign val="superscript"/>
        <sz val="18"/>
        <rFont val="Arial Narrow"/>
        <family val="2"/>
      </rPr>
      <t>6</t>
    </r>
  </si>
  <si>
    <t>(O)</t>
  </si>
  <si>
    <t>O-every week</t>
  </si>
  <si>
    <t>B: Brain Metastasis (BM) N=45</t>
  </si>
  <si>
    <r>
      <t>O</t>
    </r>
    <r>
      <rPr>
        <b/>
        <vertAlign val="superscript"/>
        <sz val="18"/>
        <rFont val="Arial Narrow"/>
        <family val="2"/>
      </rPr>
      <t>2</t>
    </r>
  </si>
  <si>
    <r>
      <t>(O)</t>
    </r>
    <r>
      <rPr>
        <b/>
        <vertAlign val="superscript"/>
        <sz val="16"/>
        <rFont val="Arial Narrow"/>
        <family val="2"/>
      </rPr>
      <t>2</t>
    </r>
  </si>
  <si>
    <t>(O)2</t>
  </si>
  <si>
    <t xml:space="preserve">Adjuvant temozolomide (tablets) </t>
  </si>
  <si>
    <t>A: Recurrent glioblastoma (AR) N=54</t>
  </si>
  <si>
    <t xml:space="preserve">Losartan Group AR1_1 (25mg) </t>
  </si>
  <si>
    <t>Losartan Group AR1_2 (25mg)</t>
  </si>
  <si>
    <t xml:space="preserve">Losartan Group AR1_3 (25mg) </t>
  </si>
  <si>
    <t>Losartan Group AR3_1 (100mg)</t>
  </si>
  <si>
    <t>Losartan Group AR3_2 (100mg)</t>
  </si>
  <si>
    <t xml:space="preserve">Losartan Group AR3_3 (100mg) </t>
  </si>
  <si>
    <t>Losartan Group AN1_1 (25mg)</t>
  </si>
  <si>
    <t>Losartan Group AN1_2 (25mg)</t>
  </si>
  <si>
    <t>Losartan Group AN1_3 (25mg)</t>
  </si>
  <si>
    <t>Losartan Group  AN3_1 (100mg)</t>
  </si>
  <si>
    <t>Losartan Group AN3_3 (100mg)</t>
  </si>
  <si>
    <t>Losartan Group AN3_2 (100mg)</t>
  </si>
  <si>
    <t>-7 days start treatment protocol</t>
  </si>
  <si>
    <t>X-DAY
14-16</t>
  </si>
  <si>
    <t>X-DAY 
42-44</t>
  </si>
  <si>
    <t>X-DAY 
28-30</t>
  </si>
  <si>
    <t>DAY 29-44</t>
  </si>
  <si>
    <t>X-DAY 
40-44</t>
  </si>
  <si>
    <t>O-7 days</t>
  </si>
  <si>
    <t>Physical exam including weight</t>
  </si>
  <si>
    <r>
      <t xml:space="preserve">ImPRESS
</t>
    </r>
    <r>
      <rPr>
        <b/>
        <sz val="18"/>
        <color rgb="FFFF0000"/>
        <rFont val="Arial Narrow"/>
        <family val="2"/>
      </rPr>
      <t>Protocol version 5.0</t>
    </r>
    <r>
      <rPr>
        <b/>
        <sz val="22"/>
        <color rgb="FFFF0000"/>
        <rFont val="Arial Narrow"/>
        <family val="2"/>
      </rPr>
      <t xml:space="preserve"> </t>
    </r>
    <r>
      <rPr>
        <sz val="22"/>
        <color rgb="FFFF0000"/>
        <rFont val="Arial Narrow"/>
        <family val="2"/>
      </rPr>
      <t>dated</t>
    </r>
    <r>
      <rPr>
        <sz val="18"/>
        <color rgb="FFFF0000"/>
        <rFont val="Arial Narrow"/>
        <family val="2"/>
      </rPr>
      <t xml:space="preserve"> FEB 2020</t>
    </r>
  </si>
  <si>
    <t>Height</t>
  </si>
  <si>
    <r>
      <t xml:space="preserve">57 </t>
    </r>
    <r>
      <rPr>
        <b/>
        <u/>
        <sz val="16"/>
        <rFont val="Arial Narrow"/>
        <family val="2"/>
      </rPr>
      <t>+</t>
    </r>
    <r>
      <rPr>
        <b/>
        <sz val="16"/>
        <rFont val="Arial Narrow"/>
        <family val="2"/>
      </rPr>
      <t>2d</t>
    </r>
  </si>
  <si>
    <r>
      <t xml:space="preserve">71 </t>
    </r>
    <r>
      <rPr>
        <b/>
        <u/>
        <sz val="16"/>
        <rFont val="Arial Narrow"/>
        <family val="2"/>
      </rPr>
      <t>+</t>
    </r>
    <r>
      <rPr>
        <b/>
        <sz val="16"/>
        <rFont val="Arial Narrow"/>
        <family val="2"/>
      </rPr>
      <t>4d</t>
    </r>
  </si>
  <si>
    <r>
      <t xml:space="preserve">85 </t>
    </r>
    <r>
      <rPr>
        <b/>
        <u/>
        <sz val="16"/>
        <rFont val="Arial Narrow"/>
        <family val="2"/>
      </rPr>
      <t>+</t>
    </r>
    <r>
      <rPr>
        <b/>
        <sz val="16"/>
        <rFont val="Arial Narrow"/>
        <family val="2"/>
      </rPr>
      <t>4d</t>
    </r>
  </si>
  <si>
    <r>
      <t xml:space="preserve">99 </t>
    </r>
    <r>
      <rPr>
        <b/>
        <u/>
        <sz val="16"/>
        <rFont val="Arial Narrow"/>
        <family val="2"/>
      </rPr>
      <t>+</t>
    </r>
    <r>
      <rPr>
        <b/>
        <sz val="16"/>
        <rFont val="Arial Narrow"/>
        <family val="2"/>
      </rPr>
      <t>4d</t>
    </r>
  </si>
  <si>
    <r>
      <t xml:space="preserve">113 </t>
    </r>
    <r>
      <rPr>
        <b/>
        <u/>
        <sz val="16"/>
        <rFont val="Arial Narrow"/>
        <family val="2"/>
      </rPr>
      <t>+</t>
    </r>
    <r>
      <rPr>
        <b/>
        <sz val="16"/>
        <rFont val="Arial Narrow"/>
        <family val="2"/>
      </rPr>
      <t>4d</t>
    </r>
  </si>
  <si>
    <r>
      <t xml:space="preserve">127 </t>
    </r>
    <r>
      <rPr>
        <b/>
        <u/>
        <sz val="16"/>
        <rFont val="Arial Narrow"/>
        <family val="2"/>
      </rPr>
      <t>+</t>
    </r>
    <r>
      <rPr>
        <b/>
        <sz val="16"/>
        <rFont val="Arial Narrow"/>
        <family val="2"/>
      </rPr>
      <t>4d</t>
    </r>
  </si>
  <si>
    <r>
      <t xml:space="preserve">141 </t>
    </r>
    <r>
      <rPr>
        <b/>
        <u/>
        <sz val="16"/>
        <rFont val="Arial Narrow"/>
        <family val="2"/>
      </rPr>
      <t>+</t>
    </r>
    <r>
      <rPr>
        <b/>
        <sz val="16"/>
        <rFont val="Arial Narrow"/>
        <family val="2"/>
      </rPr>
      <t>4d</t>
    </r>
  </si>
  <si>
    <r>
      <t xml:space="preserve">155 </t>
    </r>
    <r>
      <rPr>
        <b/>
        <u/>
        <sz val="16"/>
        <rFont val="Arial Narrow"/>
        <family val="2"/>
      </rPr>
      <t>+</t>
    </r>
    <r>
      <rPr>
        <b/>
        <sz val="16"/>
        <rFont val="Arial Narrow"/>
        <family val="2"/>
      </rPr>
      <t>4d</t>
    </r>
  </si>
  <si>
    <r>
      <t xml:space="preserve">169 </t>
    </r>
    <r>
      <rPr>
        <b/>
        <u/>
        <sz val="16"/>
        <rFont val="Arial Narrow"/>
        <family val="2"/>
      </rPr>
      <t>+</t>
    </r>
    <r>
      <rPr>
        <b/>
        <sz val="16"/>
        <rFont val="Arial Narrow"/>
        <family val="2"/>
      </rPr>
      <t>4d</t>
    </r>
  </si>
  <si>
    <r>
      <t xml:space="preserve">183 </t>
    </r>
    <r>
      <rPr>
        <b/>
        <u/>
        <sz val="16"/>
        <rFont val="Arial Narrow"/>
        <family val="2"/>
      </rPr>
      <t>+</t>
    </r>
    <r>
      <rPr>
        <b/>
        <sz val="16"/>
        <rFont val="Arial Narrow"/>
        <family val="2"/>
      </rPr>
      <t>4d</t>
    </r>
  </si>
  <si>
    <r>
      <t xml:space="preserve">197 </t>
    </r>
    <r>
      <rPr>
        <b/>
        <u/>
        <sz val="16"/>
        <rFont val="Arial Narrow"/>
        <family val="2"/>
      </rPr>
      <t>+</t>
    </r>
    <r>
      <rPr>
        <b/>
        <sz val="16"/>
        <rFont val="Arial Narrow"/>
        <family val="2"/>
      </rPr>
      <t>4d</t>
    </r>
  </si>
  <si>
    <r>
      <t xml:space="preserve">211 </t>
    </r>
    <r>
      <rPr>
        <b/>
        <u/>
        <sz val="16"/>
        <rFont val="Arial Narrow"/>
        <family val="2"/>
      </rPr>
      <t>+</t>
    </r>
    <r>
      <rPr>
        <b/>
        <sz val="16"/>
        <rFont val="Arial Narrow"/>
        <family val="2"/>
      </rPr>
      <t>4d</t>
    </r>
  </si>
  <si>
    <r>
      <t xml:space="preserve">225 </t>
    </r>
    <r>
      <rPr>
        <b/>
        <u/>
        <sz val="16"/>
        <rFont val="Arial Narrow"/>
        <family val="2"/>
      </rPr>
      <t>+</t>
    </r>
    <r>
      <rPr>
        <b/>
        <sz val="16"/>
        <rFont val="Arial Narrow"/>
        <family val="2"/>
      </rPr>
      <t>4d</t>
    </r>
  </si>
  <si>
    <r>
      <t xml:space="preserve">239 </t>
    </r>
    <r>
      <rPr>
        <b/>
        <u/>
        <sz val="16"/>
        <rFont val="Arial Narrow"/>
        <family val="2"/>
      </rPr>
      <t>+</t>
    </r>
    <r>
      <rPr>
        <b/>
        <sz val="16"/>
        <rFont val="Arial Narrow"/>
        <family val="2"/>
      </rPr>
      <t>4d</t>
    </r>
  </si>
  <si>
    <t>-4 days start treatment protocol</t>
  </si>
  <si>
    <r>
      <t xml:space="preserve">PET-CT - </t>
    </r>
    <r>
      <rPr>
        <b/>
        <sz val="16"/>
        <rFont val="Arial Narrow"/>
        <family val="2"/>
      </rPr>
      <t>separate ICF</t>
    </r>
  </si>
  <si>
    <r>
      <t>(X)</t>
    </r>
    <r>
      <rPr>
        <b/>
        <vertAlign val="superscript"/>
        <sz val="14"/>
        <rFont val="Arial Narrow"/>
        <family val="2"/>
      </rPr>
      <t>1</t>
    </r>
  </si>
  <si>
    <t>1) Procedures performed within 14 days before study treatment start (C1-D1), may serve as baseline.</t>
  </si>
  <si>
    <t>X-DAY 
15-17</t>
  </si>
  <si>
    <t>X-DAY
28-30</t>
  </si>
  <si>
    <t>X-DAY
40-44</t>
  </si>
  <si>
    <r>
      <t>15</t>
    </r>
    <r>
      <rPr>
        <b/>
        <u/>
        <sz val="16"/>
        <rFont val="Arial Narrow"/>
        <family val="2"/>
      </rPr>
      <t>+</t>
    </r>
    <r>
      <rPr>
        <b/>
        <sz val="16"/>
        <rFont val="Arial Narrow"/>
        <family val="2"/>
      </rPr>
      <t>1</t>
    </r>
  </si>
  <si>
    <r>
      <t xml:space="preserve">29 </t>
    </r>
    <r>
      <rPr>
        <b/>
        <u/>
        <sz val="16"/>
        <rFont val="Arial Narrow"/>
        <family val="2"/>
      </rPr>
      <t>+</t>
    </r>
    <r>
      <rPr>
        <b/>
        <sz val="16"/>
        <rFont val="Arial Narrow"/>
        <family val="2"/>
      </rPr>
      <t>1d</t>
    </r>
  </si>
  <si>
    <r>
      <t xml:space="preserve">43 </t>
    </r>
    <r>
      <rPr>
        <b/>
        <u/>
        <sz val="16"/>
        <rFont val="Arial Narrow"/>
        <family val="2"/>
      </rPr>
      <t>+</t>
    </r>
    <r>
      <rPr>
        <b/>
        <sz val="16"/>
        <rFont val="Arial Narrow"/>
        <family val="2"/>
      </rPr>
      <t>1d</t>
    </r>
  </si>
  <si>
    <t>Cycle 15 - 25</t>
  </si>
  <si>
    <t>29-49</t>
  </si>
  <si>
    <r>
      <t>Vital signs</t>
    </r>
    <r>
      <rPr>
        <sz val="16"/>
        <rFont val="Arial Narrow"/>
        <family val="2"/>
      </rPr>
      <t>: BP + pulse</t>
    </r>
  </si>
  <si>
    <r>
      <t>X-DAY 162</t>
    </r>
    <r>
      <rPr>
        <vertAlign val="superscript"/>
        <sz val="14"/>
        <rFont val="Arial Narrow"/>
        <family val="2"/>
      </rPr>
      <t>2</t>
    </r>
  </si>
  <si>
    <t>Radiolog: Karoline Skogen</t>
  </si>
  <si>
    <r>
      <t xml:space="preserve">15 </t>
    </r>
    <r>
      <rPr>
        <b/>
        <u/>
        <sz val="16"/>
        <rFont val="Arial Narrow"/>
        <family val="2"/>
      </rPr>
      <t>+</t>
    </r>
    <r>
      <rPr>
        <b/>
        <sz val="16"/>
        <rFont val="Arial Narrow"/>
        <family val="2"/>
      </rPr>
      <t>1d</t>
    </r>
  </si>
  <si>
    <t>Cycle 20 - 25</t>
  </si>
  <si>
    <t>39-49</t>
  </si>
  <si>
    <r>
      <t>Vital signs</t>
    </r>
    <r>
      <rPr>
        <sz val="16"/>
        <rFont val="Arial Narrow"/>
        <family val="2"/>
      </rPr>
      <t>: BP + puls</t>
    </r>
  </si>
  <si>
    <t>X-MRI: imaging protocol ImPRESS-losartan
O-MRI: only RANO evaluation</t>
  </si>
  <si>
    <t>X-DAY
42-44</t>
  </si>
  <si>
    <r>
      <t>X-DAY 232</t>
    </r>
    <r>
      <rPr>
        <vertAlign val="superscript"/>
        <sz val="14"/>
        <rFont val="Arial Narrow"/>
        <family val="2"/>
      </rPr>
      <t>2</t>
    </r>
  </si>
  <si>
    <t xml:space="preserve">1) Procedures performed within 14 days before study treatment start (C1-D1), may serve as baseline.         </t>
  </si>
  <si>
    <r>
      <t>X-DAY 90</t>
    </r>
    <r>
      <rPr>
        <b/>
        <vertAlign val="superscript"/>
        <sz val="16"/>
        <rFont val="Arial Narrow"/>
        <family val="2"/>
      </rPr>
      <t>3</t>
    </r>
  </si>
  <si>
    <r>
      <t>X-DAY 180</t>
    </r>
    <r>
      <rPr>
        <b/>
        <vertAlign val="superscript"/>
        <sz val="16"/>
        <rFont val="Arial Narrow"/>
        <family val="2"/>
      </rPr>
      <t>3</t>
    </r>
  </si>
  <si>
    <r>
      <t xml:space="preserve">3) -7 days and for those subjects not started on losartan the procedures have to be performed </t>
    </r>
    <r>
      <rPr>
        <b/>
        <sz val="14"/>
        <rFont val="Arial Narrow"/>
        <family val="2"/>
      </rPr>
      <t>before</t>
    </r>
    <r>
      <rPr>
        <sz val="14"/>
        <rFont val="Arial Narrow"/>
        <family val="2"/>
      </rPr>
      <t xml:space="preserve"> IMP treatment start</t>
    </r>
  </si>
  <si>
    <t>7) MR Caput every 3rd month</t>
  </si>
  <si>
    <t>4) Only for subject on immunotherapy treatment</t>
  </si>
  <si>
    <t>5) -7 days: Procedures must be performed while the subject is still on losartan</t>
  </si>
  <si>
    <r>
      <t xml:space="preserve">6)  </t>
    </r>
    <r>
      <rPr>
        <u/>
        <sz val="14"/>
        <rFont val="Arial Narrow"/>
        <family val="2"/>
      </rPr>
      <t>+</t>
    </r>
    <r>
      <rPr>
        <sz val="14"/>
        <rFont val="Arial Narrow"/>
        <family val="2"/>
      </rPr>
      <t xml:space="preserve"> 7days</t>
    </r>
  </si>
  <si>
    <r>
      <t>X-DAY 270</t>
    </r>
    <r>
      <rPr>
        <vertAlign val="superscript"/>
        <sz val="16"/>
        <rFont val="Arial Narrow"/>
        <family val="2"/>
      </rPr>
      <t>5</t>
    </r>
    <r>
      <rPr>
        <sz val="14"/>
        <rFont val="Arial Narrow"/>
        <family val="2"/>
      </rPr>
      <t xml:space="preserve"> </t>
    </r>
    <r>
      <rPr>
        <u/>
        <sz val="14"/>
        <rFont val="Arial Narrow"/>
        <family val="2"/>
      </rPr>
      <t/>
    </r>
  </si>
  <si>
    <r>
      <t>O</t>
    </r>
    <r>
      <rPr>
        <vertAlign val="superscript"/>
        <sz val="16"/>
        <rFont val="Arial Narrow"/>
        <family val="2"/>
      </rPr>
      <t>7</t>
    </r>
  </si>
  <si>
    <r>
      <t>X</t>
    </r>
    <r>
      <rPr>
        <vertAlign val="superscript"/>
        <sz val="16"/>
        <rFont val="Arial"/>
        <family val="2"/>
      </rPr>
      <t>8</t>
    </r>
  </si>
  <si>
    <r>
      <t>X-DAY 90</t>
    </r>
    <r>
      <rPr>
        <vertAlign val="superscript"/>
        <sz val="14"/>
        <rFont val="Arial Narrow"/>
        <family val="2"/>
      </rPr>
      <t>3</t>
    </r>
  </si>
  <si>
    <t xml:space="preserve">(X) </t>
  </si>
  <si>
    <r>
      <t xml:space="preserve">197 </t>
    </r>
    <r>
      <rPr>
        <b/>
        <u/>
        <sz val="16"/>
        <rFont val="Arial Narrow"/>
        <family val="2"/>
      </rPr>
      <t>+7</t>
    </r>
    <r>
      <rPr>
        <b/>
        <sz val="16"/>
        <rFont val="Arial Narrow"/>
        <family val="2"/>
      </rPr>
      <t>d</t>
    </r>
  </si>
  <si>
    <t>Survival assessment (by telephone)</t>
  </si>
  <si>
    <t xml:space="preserve">8) Survival Assessment: every 2 months (+ 7 days) </t>
  </si>
  <si>
    <t>9) In case of withdrawal from study, same procedures as Safety FU must be performed in addition to recording the reason for withdrawal</t>
  </si>
  <si>
    <r>
      <t>Safety FU</t>
    </r>
    <r>
      <rPr>
        <b/>
        <vertAlign val="superscript"/>
        <sz val="18"/>
        <rFont val="Arial Narrow"/>
        <family val="2"/>
      </rPr>
      <t>9</t>
    </r>
  </si>
  <si>
    <r>
      <t xml:space="preserve">Cycle </t>
    </r>
    <r>
      <rPr>
        <sz val="14"/>
        <rFont val="Arial Narrow"/>
        <family val="2"/>
      </rPr>
      <t>(90 day-cycle)
O = standard treatment procedures
X = study specific procedures</t>
    </r>
  </si>
  <si>
    <t>103-105</t>
  </si>
  <si>
    <t>51-53</t>
  </si>
  <si>
    <t>DAY 1</t>
  </si>
  <si>
    <t>DAY 90</t>
  </si>
  <si>
    <t>DAY 180</t>
  </si>
  <si>
    <t>DAY 270</t>
  </si>
  <si>
    <t>DAY 360</t>
  </si>
  <si>
    <t>DAY 181</t>
  </si>
  <si>
    <t xml:space="preserve"> DAY 1 - 90</t>
  </si>
  <si>
    <t xml:space="preserve"> DAY 91 - 180</t>
  </si>
  <si>
    <t>DAY 181 - 270</t>
  </si>
  <si>
    <t xml:space="preserve">Day in study </t>
  </si>
  <si>
    <t>SCREENING</t>
  </si>
  <si>
    <t>A: Newly diagnosed glioblastomas (AN)</t>
  </si>
  <si>
    <t>DAY 91</t>
  </si>
  <si>
    <r>
      <t>DAY
284</t>
    </r>
    <r>
      <rPr>
        <b/>
        <u/>
        <sz val="14"/>
        <rFont val="Arial Narrow"/>
        <family val="2"/>
      </rPr>
      <t>+</t>
    </r>
    <r>
      <rPr>
        <b/>
        <sz val="14"/>
        <rFont val="Arial Narrow"/>
        <family val="2"/>
      </rPr>
      <t>4d</t>
    </r>
  </si>
  <si>
    <t xml:space="preserve">2) Every 3rd week in connection with i.v. chemo-/immunotherapy </t>
  </si>
  <si>
    <r>
      <t xml:space="preserve">X-DAY 270 </t>
    </r>
    <r>
      <rPr>
        <vertAlign val="superscript"/>
        <sz val="18"/>
        <rFont val="Arial Narrow"/>
        <family val="2"/>
      </rPr>
      <t xml:space="preserve">6 </t>
    </r>
    <r>
      <rPr>
        <u/>
        <sz val="14"/>
        <rFont val="Arial Narrow"/>
        <family val="2"/>
      </rPr>
      <t/>
    </r>
  </si>
  <si>
    <r>
      <t>O</t>
    </r>
    <r>
      <rPr>
        <vertAlign val="superscript"/>
        <sz val="14"/>
        <rFont val="Arial Narrow"/>
        <family val="2"/>
      </rPr>
      <t>2</t>
    </r>
  </si>
  <si>
    <r>
      <t xml:space="preserve">360 </t>
    </r>
    <r>
      <rPr>
        <b/>
        <u/>
        <sz val="16"/>
        <rFont val="Arial Narrow"/>
        <family val="2"/>
      </rPr>
      <t>+</t>
    </r>
    <r>
      <rPr>
        <b/>
        <sz val="16"/>
        <rFont val="Arial Narrow"/>
        <family val="2"/>
      </rPr>
      <t>7d</t>
    </r>
  </si>
  <si>
    <t xml:space="preserve">12 Months </t>
  </si>
  <si>
    <r>
      <t xml:space="preserve">24 Months </t>
    </r>
    <r>
      <rPr>
        <b/>
        <u/>
        <sz val="14"/>
        <rFont val="Arial Narrow"/>
        <family val="2"/>
      </rPr>
      <t/>
    </r>
  </si>
  <si>
    <t xml:space="preserve"> O - MR caput - every 3rd Month 
O-DAY 360</t>
  </si>
  <si>
    <t>4) In case of withdrawal from study, same procedures as Safety FU must be performed in addition to recording the reason for withdrawal</t>
  </si>
  <si>
    <r>
      <t>X</t>
    </r>
    <r>
      <rPr>
        <vertAlign val="superscript"/>
        <sz val="18"/>
        <rFont val="Arial Narrow"/>
        <family val="2"/>
      </rPr>
      <t>3</t>
    </r>
  </si>
  <si>
    <t xml:space="preserve">3) Survival Assessment: every 2 months (+ 7 days) </t>
  </si>
  <si>
    <r>
      <t>Cycle 14
Safety FU</t>
    </r>
    <r>
      <rPr>
        <b/>
        <vertAlign val="superscript"/>
        <sz val="18"/>
        <rFont val="Arial Narrow"/>
        <family val="2"/>
      </rPr>
      <t>4</t>
    </r>
    <r>
      <rPr>
        <b/>
        <sz val="18"/>
        <rFont val="Arial Narrow"/>
        <family val="2"/>
      </rPr>
      <t xml:space="preserve"> </t>
    </r>
  </si>
  <si>
    <r>
      <t>Cycle 19
Safety FU</t>
    </r>
    <r>
      <rPr>
        <b/>
        <vertAlign val="superscript"/>
        <sz val="18"/>
        <rFont val="Arial Narrow"/>
        <family val="2"/>
      </rPr>
      <t>4</t>
    </r>
  </si>
  <si>
    <r>
      <t>X-DAY 180</t>
    </r>
    <r>
      <rPr>
        <vertAlign val="superscript"/>
        <sz val="18"/>
        <rFont val="Arial Narrow"/>
        <family val="2"/>
      </rPr>
      <t>5</t>
    </r>
  </si>
  <si>
    <t>5) Day 180 + 7 days</t>
  </si>
  <si>
    <t xml:space="preserve">1) Procedures performed within 14 days before study treatment start (C1-D1), may serve as baseline.               </t>
  </si>
  <si>
    <r>
      <t xml:space="preserve">ImPRESS
</t>
    </r>
    <r>
      <rPr>
        <b/>
        <sz val="18"/>
        <color rgb="FFFF0000"/>
        <rFont val="Arial Narrow"/>
        <family val="2"/>
      </rPr>
      <t>Protocol version 5.0</t>
    </r>
    <r>
      <rPr>
        <b/>
        <sz val="22"/>
        <color rgb="FFFF0000"/>
        <rFont val="Arial Narrow"/>
        <family val="2"/>
      </rPr>
      <t xml:space="preserve"> </t>
    </r>
    <r>
      <rPr>
        <sz val="22"/>
        <color rgb="FFFF0000"/>
        <rFont val="Arial Narrow"/>
        <family val="2"/>
      </rPr>
      <t>dated</t>
    </r>
    <r>
      <rPr>
        <sz val="18"/>
        <color rgb="FFFF0000"/>
        <rFont val="Arial Narrow"/>
        <family val="2"/>
      </rPr>
      <t xml:space="preserve"> FEB 2020 </t>
    </r>
  </si>
  <si>
    <r>
      <t xml:space="preserve">ImPRESS
</t>
    </r>
    <r>
      <rPr>
        <b/>
        <sz val="18"/>
        <color rgb="FFFF0000"/>
        <rFont val="Arial Narrow"/>
        <family val="2"/>
      </rPr>
      <t>Protokoll versjon 5.0</t>
    </r>
    <r>
      <rPr>
        <b/>
        <sz val="22"/>
        <color rgb="FFFF0000"/>
        <rFont val="Arial Narrow"/>
        <family val="2"/>
      </rPr>
      <t xml:space="preserve"> </t>
    </r>
    <r>
      <rPr>
        <sz val="22"/>
        <color rgb="FFFF0000"/>
        <rFont val="Arial Narrow"/>
        <family val="2"/>
      </rPr>
      <t>datert</t>
    </r>
    <r>
      <rPr>
        <sz val="18"/>
        <color rgb="FFFF0000"/>
        <rFont val="Arial Narrow"/>
        <family val="2"/>
      </rPr>
      <t xml:space="preserve"> FEB 2020 </t>
    </r>
  </si>
  <si>
    <r>
      <t>X-DAY 180</t>
    </r>
    <r>
      <rPr>
        <vertAlign val="superscript"/>
        <sz val="14"/>
        <rFont val="Arial Narrow"/>
        <family val="2"/>
      </rPr>
      <t>5</t>
    </r>
  </si>
  <si>
    <r>
      <t xml:space="preserve">267 </t>
    </r>
    <r>
      <rPr>
        <b/>
        <u/>
        <sz val="16"/>
        <rFont val="Arial Narrow"/>
        <family val="2"/>
      </rPr>
      <t>+7</t>
    </r>
    <r>
      <rPr>
        <b/>
        <sz val="16"/>
        <rFont val="Arial Narrow"/>
        <family val="2"/>
      </rPr>
      <t>d</t>
    </r>
  </si>
  <si>
    <r>
      <t xml:space="preserve">253 </t>
    </r>
    <r>
      <rPr>
        <b/>
        <u/>
        <sz val="16"/>
        <rFont val="Arial Narrow"/>
        <family val="2"/>
      </rPr>
      <t>+</t>
    </r>
    <r>
      <rPr>
        <b/>
        <sz val="16"/>
        <rFont val="Arial Narrow"/>
        <family val="2"/>
      </rPr>
      <t>4d</t>
    </r>
  </si>
  <si>
    <r>
      <t xml:space="preserve">720 </t>
    </r>
    <r>
      <rPr>
        <b/>
        <u/>
        <sz val="16"/>
        <rFont val="Arial Narrow"/>
        <family val="2"/>
      </rPr>
      <t>+</t>
    </r>
    <r>
      <rPr>
        <b/>
        <sz val="16"/>
        <rFont val="Arial Narrow"/>
        <family val="2"/>
      </rPr>
      <t>7d</t>
    </r>
  </si>
  <si>
    <t>DAY 720</t>
  </si>
  <si>
    <t>O+X</t>
  </si>
  <si>
    <r>
      <t>O+X-DAY 78</t>
    </r>
    <r>
      <rPr>
        <vertAlign val="superscript"/>
        <sz val="14"/>
        <rFont val="Arial Narrow"/>
        <family val="2"/>
      </rPr>
      <t>2</t>
    </r>
  </si>
  <si>
    <t xml:space="preserve">2) Window -8 and +1 day(s), preferable in the second week of the cycle. For subjects randomised to extended treatment, it is important that the procedures in Cycle 12 are performed  when the subject is still on losartan. </t>
  </si>
  <si>
    <r>
      <t>O+X-DAY 162</t>
    </r>
    <r>
      <rPr>
        <vertAlign val="superscript"/>
        <sz val="14"/>
        <rFont val="Arial Narrow"/>
        <family val="2"/>
      </rPr>
      <t>2</t>
    </r>
  </si>
  <si>
    <r>
      <t>O+X- DAY 148</t>
    </r>
    <r>
      <rPr>
        <vertAlign val="superscript"/>
        <sz val="14"/>
        <rFont val="Arial Narrow"/>
        <family val="2"/>
      </rPr>
      <t>2</t>
    </r>
  </si>
  <si>
    <r>
      <t>O+X-DAY 232</t>
    </r>
    <r>
      <rPr>
        <vertAlign val="superscript"/>
        <sz val="14"/>
        <rFont val="Arial Narrow"/>
        <family val="2"/>
      </rPr>
      <t>2</t>
    </r>
  </si>
  <si>
    <t xml:space="preserve">2) Window -8 and +1 day(s), preferable in the second week of the cycle. For subjects randomised to extended treatment, it is important that the procedures in Cycle 17 are performed  when the subject is still on losartan. </t>
  </si>
  <si>
    <t>SOC Chemotherapy treatment</t>
  </si>
  <si>
    <t>O - SOC treatment according to national guidellines</t>
  </si>
  <si>
    <t>SOC Immunotherapy treatment</t>
  </si>
  <si>
    <t>10) -14 days</t>
  </si>
  <si>
    <r>
      <t>O+X-DAY 90</t>
    </r>
    <r>
      <rPr>
        <vertAlign val="superscript"/>
        <sz val="16"/>
        <rFont val="Arial Narrow"/>
        <family val="2"/>
      </rPr>
      <t>10</t>
    </r>
  </si>
  <si>
    <r>
      <t>O+X-DAY 180</t>
    </r>
    <r>
      <rPr>
        <vertAlign val="superscript"/>
        <sz val="16"/>
        <rFont val="Arial Narrow"/>
        <family val="2"/>
      </rPr>
      <t>10</t>
    </r>
  </si>
  <si>
    <r>
      <t>O+X-DAY 270</t>
    </r>
    <r>
      <rPr>
        <vertAlign val="superscript"/>
        <sz val="16"/>
        <rFont val="Arial Narrow"/>
        <family val="2"/>
      </rPr>
      <t>10</t>
    </r>
    <r>
      <rPr>
        <sz val="14"/>
        <rFont val="Arial Narrow"/>
        <family val="2"/>
      </rPr>
      <t xml:space="preserve"> </t>
    </r>
    <r>
      <rPr>
        <u/>
        <sz val="14"/>
        <rFont val="Arial Narrow"/>
        <family val="2"/>
      </rPr>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</si>
</sst>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
  </numFmts>
  <fonts count="3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4"/>
      <name val="Arial Narrow"/>
      <family val="2"/>
    </font>
    <font>
      <sz val="14"/>
      <name val="Arial Narrow"/>
      <family val="2"/>
    </font>
    <font>
      <sz val="14"/>
      <name val="Arial"/>
      <family val="2"/>
    </font>
    <font>
      <sz val="22"/>
      <name val="Arial"/>
      <family val="2"/>
    </font>
    <font>
      <sz val="24"/>
      <name val="Arial"/>
      <family val="2"/>
    </font>
    <font>
      <sz val="26"/>
      <name val="Arial"/>
      <family val="2"/>
    </font>
    <font>
      <b/>
      <sz val="48"/>
      <name val="Arial Narrow"/>
      <family val="2"/>
    </font>
    <font>
      <sz val="48"/>
      <name val="Arial"/>
      <family val="2"/>
    </font>
    <font>
      <b/>
      <sz val="18"/>
      <name val="Arial Narrow"/>
      <family val="2"/>
    </font>
    <font>
      <b/>
      <sz val="20"/>
      <name val="Arial Narrow"/>
      <family val="2"/>
    </font>
    <font>
      <sz val="16"/>
      <name val="Arial Narrow"/>
      <family val="2"/>
    </font>
    <font>
      <sz val="11"/>
      <color theme="1"/>
      <name val="Calibri"/>
      <family val="2"/>
      <scheme val="minor"/>
    </font>
    <font>
      <b/>
      <sz val="16"/>
      <name val="Arial Narrow"/>
      <family val="2"/>
    </font>
    <font>
      <b/>
      <sz val="18"/>
      <name val="Arial"/>
      <family val="2"/>
    </font>
    <font>
      <b/>
      <sz val="22"/>
      <color rgb="FFFF0000"/>
      <name val="Arial Narrow"/>
      <family val="2"/>
    </font>
    <font>
      <b/>
      <sz val="18"/>
      <color rgb="FFFF0000"/>
      <name val="Arial Narrow"/>
      <family val="2"/>
    </font>
    <font>
      <sz val="22"/>
      <color rgb="FFFF0000"/>
      <name val="Arial Narrow"/>
      <family val="2"/>
    </font>
    <font>
      <sz val="18"/>
      <color rgb="FFFF0000"/>
      <name val="Arial Narrow"/>
      <family val="2"/>
    </font>
    <font>
      <b/>
      <sz val="22"/>
      <name val="Arial Narrow"/>
      <family val="2"/>
    </font>
    <font>
      <sz val="10"/>
      <name val="Arial"/>
      <family val="2"/>
    </font>
    <font>
      <sz val="11"/>
      <name val="Arial Narrow"/>
      <family val="2"/>
    </font>
    <font>
      <b/>
      <vertAlign val="superscript"/>
      <sz val="16"/>
      <name val="Arial Narrow"/>
      <family val="2"/>
    </font>
    <font>
      <u/>
      <sz val="14"/>
      <name val="Arial Narrow"/>
      <family val="2"/>
    </font>
    <font>
      <b/>
      <u/>
      <sz val="14"/>
      <name val="Arial Narrow"/>
      <family val="2"/>
    </font>
    <font>
      <sz val="18"/>
      <name val="Arial"/>
      <family val="2"/>
    </font>
    <font>
      <sz val="8"/>
      <name val="Arial"/>
      <family val="2"/>
    </font>
    <font>
      <b/>
      <sz val="10"/>
      <name val="Arial"/>
      <family val="2"/>
    </font>
    <font>
      <b/>
      <vertAlign val="superscript"/>
      <sz val="18"/>
      <name val="Arial Narrow"/>
      <family val="2"/>
    </font>
    <font>
      <b/>
      <u/>
      <sz val="16"/>
      <name val="Arial Narrow"/>
      <family val="2"/>
    </font>
    <font>
      <vertAlign val="superscript"/>
      <sz val="14"/>
      <name val="Arial Narrow"/>
      <family val="2"/>
    </font>
    <font>
      <b/>
      <vertAlign val="superscript"/>
      <sz val="14"/>
      <name val="Arial Narrow"/>
      <family val="2"/>
    </font>
    <font>
      <vertAlign val="superscript"/>
      <sz val="16"/>
      <name val="Arial Narrow"/>
      <family val="2"/>
    </font>
    <font>
      <vertAlign val="superscript"/>
      <sz val="16"/>
      <name val="Arial"/>
      <family val="2"/>
    </font>
    <font>
      <vertAlign val="superscript"/>
      <sz val="18"/>
      <name val="Arial Narrow"/>
      <family val="2"/>
    </font>
  </fonts>
  <fills count="20">
    <fill>
      <patternFill patternType="none"/>
    </fill>
    <fill>
      <patternFill patternType="gray125"/>
    </fill>
    <fill>
      <patternFill patternType="solid">
        <fgColor indexed="31"/>
        <bgColor indexed="64"/>
      </patternFill>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rgb="FF00B050"/>
        <bgColor indexed="64"/>
      </patternFill>
    </fill>
    <fill>
      <patternFill patternType="solid">
        <fgColor rgb="FF99CCFF"/>
        <bgColor indexed="64"/>
      </patternFill>
    </fill>
    <fill>
      <patternFill patternType="solid">
        <fgColor rgb="FF92D050"/>
        <bgColor indexed="64"/>
      </patternFill>
    </fill>
    <fill>
      <patternFill patternType="solid">
        <fgColor theme="8"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8">
    <xf numFmtId="0" fontId="0" fillId="0" borderId="0"/>
    <xf numFmtId="0" fontId="15" fillId="0" borderId="0"/>
    <xf numFmtId="0" fontId="23" fillId="0" borderId="0"/>
    <xf numFmtId="0" fontId="3" fillId="0" borderId="0"/>
    <xf numFmtId="0" fontId="3" fillId="0" borderId="0"/>
    <xf numFmtId="0" fontId="2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cellStyleXfs>
  <cellXfs count="264">
    <xf numFmtId="0" fontId="0" fillId="0" borderId="0" xfId="0"/>
    <xf numFmtId="0" fontId="7" fillId="0" borderId="0" xfId="0" applyFont="1"/>
    <xf numFmtId="0" fontId="7" fillId="0" borderId="0" xfId="0" applyFont="1" applyBorder="1"/>
    <xf numFmtId="0" fontId="7" fillId="2" borderId="0" xfId="0" applyFont="1" applyFill="1" applyAlignment="1">
      <alignment horizontal="left" vertical="center"/>
    </xf>
    <xf numFmtId="0" fontId="8" fillId="0" borderId="0" xfId="0" applyFont="1"/>
    <xf numFmtId="0" fontId="9" fillId="2" borderId="0" xfId="0" applyFont="1" applyFill="1" applyAlignment="1">
      <alignment horizontal="left" vertical="center"/>
    </xf>
    <xf numFmtId="0" fontId="11" fillId="0" borderId="0" xfId="0" applyFont="1"/>
    <xf numFmtId="0" fontId="5" fillId="0"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3" borderId="1" xfId="0" applyNumberFormat="1" applyFont="1" applyFill="1" applyBorder="1" applyAlignment="1">
      <alignment horizontal="center" vertical="center" wrapText="1"/>
    </xf>
    <xf numFmtId="0" fontId="5" fillId="0" borderId="0" xfId="0" applyFont="1" applyAlignment="1">
      <alignment horizontal="left" wrapText="1"/>
    </xf>
    <xf numFmtId="0" fontId="5" fillId="0" borderId="0" xfId="0" applyFont="1" applyAlignment="1">
      <alignment horizontal="left"/>
    </xf>
    <xf numFmtId="0" fontId="7" fillId="0" borderId="0" xfId="0" applyFont="1" applyAlignment="1"/>
    <xf numFmtId="0" fontId="9" fillId="0" borderId="0" xfId="0" applyFont="1" applyFill="1" applyBorder="1" applyAlignment="1">
      <alignment horizontal="left" vertical="center"/>
    </xf>
    <xf numFmtId="0" fontId="9" fillId="0" borderId="0" xfId="0" applyFont="1" applyFill="1" applyAlignment="1">
      <alignment horizontal="left" vertical="center"/>
    </xf>
    <xf numFmtId="0" fontId="7" fillId="0" borderId="0" xfId="0" applyFont="1" applyFill="1" applyBorder="1" applyAlignment="1">
      <alignment horizontal="left" vertical="center"/>
    </xf>
    <xf numFmtId="0" fontId="7" fillId="0" borderId="0" xfId="0" applyFont="1" applyFill="1" applyAlignment="1">
      <alignment horizontal="left" vertical="center"/>
    </xf>
    <xf numFmtId="0" fontId="5" fillId="0" borderId="0" xfId="0" applyFont="1" applyAlignment="1">
      <alignment vertical="top"/>
    </xf>
    <xf numFmtId="0" fontId="5" fillId="0" borderId="0" xfId="0" applyFont="1" applyAlignment="1">
      <alignment vertical="center"/>
    </xf>
    <xf numFmtId="0" fontId="7" fillId="0" borderId="0" xfId="0" applyFont="1" applyAlignment="1">
      <alignment horizontal="left"/>
    </xf>
    <xf numFmtId="0" fontId="11" fillId="0" borderId="0" xfId="0" applyFont="1" applyBorder="1"/>
    <xf numFmtId="0" fontId="14" fillId="6" borderId="1" xfId="0" applyFont="1" applyFill="1" applyBorder="1" applyAlignment="1">
      <alignment vertical="center" wrapText="1"/>
    </xf>
    <xf numFmtId="0" fontId="14" fillId="9" borderId="1" xfId="0" applyFont="1" applyFill="1" applyBorder="1" applyAlignment="1">
      <alignment vertical="center" wrapText="1"/>
    </xf>
    <xf numFmtId="0" fontId="16" fillId="3" borderId="1" xfId="0" applyFont="1" applyFill="1" applyBorder="1" applyAlignment="1">
      <alignment vertical="center" wrapText="1"/>
    </xf>
    <xf numFmtId="0" fontId="16" fillId="7" borderId="1" xfId="0" applyFont="1" applyFill="1" applyBorder="1" applyAlignment="1">
      <alignment horizontal="left" vertical="center" wrapText="1"/>
    </xf>
    <xf numFmtId="49" fontId="16" fillId="7" borderId="1" xfId="0" applyNumberFormat="1" applyFont="1" applyFill="1" applyBorder="1" applyAlignment="1">
      <alignment horizontal="center" vertical="center" wrapText="1"/>
    </xf>
    <xf numFmtId="0" fontId="5" fillId="0" borderId="0" xfId="0" applyFont="1" applyAlignment="1">
      <alignment horizontal="left" vertical="center"/>
    </xf>
    <xf numFmtId="0" fontId="5" fillId="0" borderId="0" xfId="0" applyFont="1" applyFill="1" applyAlignment="1">
      <alignment horizontal="left"/>
    </xf>
    <xf numFmtId="0" fontId="7" fillId="0" borderId="0" xfId="0" applyFont="1" applyFill="1" applyAlignment="1">
      <alignment horizontal="left"/>
    </xf>
    <xf numFmtId="0" fontId="16" fillId="7" borderId="1" xfId="0" applyNumberFormat="1" applyFont="1" applyFill="1" applyBorder="1" applyAlignment="1">
      <alignment horizontal="center" vertical="center" wrapText="1"/>
    </xf>
    <xf numFmtId="14" fontId="4" fillId="2" borderId="1" xfId="0" applyNumberFormat="1" applyFont="1" applyFill="1" applyBorder="1" applyAlignment="1">
      <alignment horizontal="left" vertical="center" wrapText="1"/>
    </xf>
    <xf numFmtId="164" fontId="4" fillId="2" borderId="1" xfId="0" applyNumberFormat="1" applyFont="1" applyFill="1" applyBorder="1" applyAlignment="1">
      <alignment horizontal="center" vertical="center" wrapText="1"/>
    </xf>
    <xf numFmtId="0" fontId="16" fillId="8" borderId="1" xfId="0" applyFont="1" applyFill="1" applyBorder="1" applyAlignment="1">
      <alignment vertical="center" wrapText="1"/>
    </xf>
    <xf numFmtId="0" fontId="16" fillId="8" borderId="1" xfId="0" applyFont="1" applyFill="1" applyBorder="1" applyAlignment="1">
      <alignment horizontal="left" vertical="center" wrapText="1"/>
    </xf>
    <xf numFmtId="0" fontId="5" fillId="0" borderId="0" xfId="0" applyFont="1" applyAlignment="1">
      <alignment horizontal="left" wrapText="1"/>
    </xf>
    <xf numFmtId="0" fontId="16" fillId="8" borderId="2"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23" fillId="0" borderId="0" xfId="0" applyFont="1"/>
    <xf numFmtId="0" fontId="23" fillId="10" borderId="0" xfId="0" applyFont="1" applyFill="1"/>
    <xf numFmtId="0" fontId="6" fillId="0" borderId="1" xfId="0" applyFont="1" applyFill="1" applyBorder="1" applyAlignment="1">
      <alignment horizontal="center" vertical="center"/>
    </xf>
    <xf numFmtId="0" fontId="23" fillId="11" borderId="0" xfId="0" applyFont="1" applyFill="1"/>
    <xf numFmtId="0" fontId="0" fillId="11" borderId="0" xfId="0" applyFill="1"/>
    <xf numFmtId="164" fontId="5" fillId="0" borderId="1" xfId="0" applyNumberFormat="1"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0" xfId="0" applyFont="1" applyAlignment="1">
      <alignment horizontal="left" wrapText="1"/>
    </xf>
    <xf numFmtId="0" fontId="5" fillId="0" borderId="0" xfId="0" applyFont="1" applyAlignment="1">
      <alignment horizontal="left" wrapText="1"/>
    </xf>
    <xf numFmtId="0" fontId="7" fillId="0" borderId="1" xfId="0" applyFont="1" applyFill="1" applyBorder="1"/>
    <xf numFmtId="0" fontId="16" fillId="7" borderId="2"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16" fillId="2" borderId="4" xfId="0" applyFont="1" applyFill="1" applyBorder="1" applyAlignment="1">
      <alignment horizontal="left" vertical="center" wrapText="1"/>
    </xf>
    <xf numFmtId="0" fontId="12" fillId="0" borderId="1" xfId="0" applyFont="1" applyBorder="1" applyAlignment="1">
      <alignment horizontal="left" vertical="center"/>
    </xf>
    <xf numFmtId="0" fontId="22" fillId="0" borderId="1" xfId="0" applyFont="1" applyBorder="1" applyAlignment="1">
      <alignment horizontal="left" vertical="center"/>
    </xf>
    <xf numFmtId="0" fontId="12" fillId="0" borderId="1" xfId="0" applyFont="1" applyBorder="1" applyAlignment="1">
      <alignment horizontal="left" vertical="center" wrapText="1"/>
    </xf>
    <xf numFmtId="0" fontId="11" fillId="0" borderId="1" xfId="0" applyFont="1" applyBorder="1"/>
    <xf numFmtId="0" fontId="4" fillId="13" borderId="1" xfId="0" applyFont="1" applyFill="1" applyBorder="1" applyAlignment="1">
      <alignment horizontal="left" vertical="center" wrapText="1"/>
    </xf>
    <xf numFmtId="164" fontId="4" fillId="13" borderId="1" xfId="0" applyNumberFormat="1" applyFont="1" applyFill="1" applyBorder="1" applyAlignment="1">
      <alignment horizontal="center" vertical="center" wrapText="1"/>
    </xf>
    <xf numFmtId="0" fontId="4" fillId="8"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14" fillId="14" borderId="1" xfId="0" applyFont="1" applyFill="1" applyBorder="1" applyAlignment="1">
      <alignment vertical="center" wrapText="1"/>
    </xf>
    <xf numFmtId="0" fontId="6" fillId="14" borderId="1" xfId="0" applyFont="1" applyFill="1" applyBorder="1" applyAlignment="1">
      <alignment horizontal="center" vertical="center"/>
    </xf>
    <xf numFmtId="0" fontId="14" fillId="8" borderId="1" xfId="0" applyFont="1" applyFill="1" applyBorder="1" applyAlignment="1">
      <alignment vertical="center" wrapText="1"/>
    </xf>
    <xf numFmtId="0" fontId="17" fillId="0" borderId="0" xfId="0" applyFont="1" applyFill="1" applyBorder="1" applyAlignment="1">
      <alignment wrapText="1"/>
    </xf>
    <xf numFmtId="0" fontId="4" fillId="0" borderId="0" xfId="0" applyFont="1" applyFill="1" applyBorder="1" applyAlignment="1">
      <alignment horizontal="center" vertical="center" wrapText="1"/>
    </xf>
    <xf numFmtId="0" fontId="16" fillId="0" borderId="0" xfId="0" applyNumberFormat="1" applyFont="1" applyFill="1" applyBorder="1" applyAlignment="1">
      <alignment horizontal="center" vertical="center" wrapText="1"/>
    </xf>
    <xf numFmtId="164" fontId="4" fillId="0" borderId="0" xfId="0" applyNumberFormat="1" applyFont="1" applyFill="1" applyBorder="1" applyAlignment="1">
      <alignment horizontal="center" vertical="center" wrapText="1"/>
    </xf>
    <xf numFmtId="0" fontId="6" fillId="0" borderId="0" xfId="0" applyFont="1" applyFill="1" applyBorder="1" applyAlignment="1">
      <alignment horizontal="center" vertical="center"/>
    </xf>
    <xf numFmtId="0" fontId="5" fillId="0" borderId="0" xfId="0" applyFont="1" applyFill="1" applyBorder="1" applyAlignment="1">
      <alignment horizontal="center" vertical="center" wrapText="1"/>
    </xf>
    <xf numFmtId="0" fontId="7" fillId="0" borderId="0" xfId="0" applyFont="1" applyFill="1" applyBorder="1"/>
    <xf numFmtId="0" fontId="4" fillId="12" borderId="1" xfId="0" applyFont="1" applyFill="1" applyBorder="1" applyAlignment="1">
      <alignment horizontal="center" vertical="center" wrapText="1"/>
    </xf>
    <xf numFmtId="0" fontId="16" fillId="12" borderId="2" xfId="0" applyFont="1" applyFill="1" applyBorder="1" applyAlignment="1">
      <alignment horizontal="left" vertical="center" wrapText="1"/>
    </xf>
    <xf numFmtId="0" fontId="12" fillId="12" borderId="1" xfId="0" applyFont="1" applyFill="1" applyBorder="1" applyAlignment="1">
      <alignment horizontal="center" vertical="center" wrapText="1"/>
    </xf>
    <xf numFmtId="0" fontId="10" fillId="12" borderId="5" xfId="0" applyFont="1" applyFill="1" applyBorder="1" applyAlignment="1">
      <alignment vertical="center" wrapText="1"/>
    </xf>
    <xf numFmtId="0" fontId="4" fillId="16" borderId="1" xfId="0" applyFont="1" applyFill="1" applyBorder="1" applyAlignment="1">
      <alignment horizontal="center" vertical="center" wrapText="1"/>
    </xf>
    <xf numFmtId="0" fontId="16" fillId="16" borderId="2" xfId="0" applyFont="1" applyFill="1" applyBorder="1" applyAlignment="1">
      <alignment horizontal="left" vertical="center" wrapText="1"/>
    </xf>
    <xf numFmtId="0" fontId="12" fillId="16" borderId="1" xfId="0" applyFont="1" applyFill="1" applyBorder="1" applyAlignment="1">
      <alignment horizontal="center" vertical="center" wrapText="1"/>
    </xf>
    <xf numFmtId="0" fontId="10" fillId="16" borderId="5" xfId="0" applyFont="1" applyFill="1" applyBorder="1" applyAlignment="1">
      <alignment vertical="center" wrapText="1"/>
    </xf>
    <xf numFmtId="0" fontId="10" fillId="15" borderId="5" xfId="0" applyFont="1" applyFill="1" applyBorder="1" applyAlignment="1">
      <alignment vertical="center" wrapText="1"/>
    </xf>
    <xf numFmtId="0" fontId="4" fillId="15" borderId="1" xfId="0" applyFont="1" applyFill="1" applyBorder="1" applyAlignment="1">
      <alignment horizontal="center" vertical="center" wrapText="1"/>
    </xf>
    <xf numFmtId="0" fontId="16" fillId="15" borderId="2" xfId="0" applyFont="1" applyFill="1" applyBorder="1" applyAlignment="1">
      <alignment horizontal="left" vertical="center" wrapText="1"/>
    </xf>
    <xf numFmtId="0" fontId="14" fillId="13" borderId="1" xfId="0" applyFont="1" applyFill="1" applyBorder="1" applyAlignment="1">
      <alignment vertical="center" wrapText="1"/>
    </xf>
    <xf numFmtId="0" fontId="5" fillId="0" borderId="0" xfId="0" applyFont="1" applyAlignment="1">
      <alignment horizontal="left" wrapText="1"/>
    </xf>
    <xf numFmtId="0" fontId="5" fillId="0" borderId="0" xfId="0" applyFont="1" applyAlignment="1">
      <alignment horizontal="left" wrapText="1"/>
    </xf>
    <xf numFmtId="0" fontId="4" fillId="15"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4" fillId="7" borderId="1" xfId="0" applyNumberFormat="1" applyFont="1" applyFill="1" applyBorder="1" applyAlignment="1">
      <alignment horizontal="center" vertical="center" wrapText="1"/>
    </xf>
    <xf numFmtId="0" fontId="12" fillId="15" borderId="2" xfId="0" applyFont="1" applyFill="1" applyBorder="1" applyAlignment="1">
      <alignment vertical="center" wrapText="1"/>
    </xf>
    <xf numFmtId="0" fontId="12" fillId="15" borderId="7" xfId="0" applyFont="1" applyFill="1" applyBorder="1" applyAlignment="1">
      <alignment vertical="center" wrapText="1"/>
    </xf>
    <xf numFmtId="0" fontId="12" fillId="15" borderId="3" xfId="0" applyFont="1" applyFill="1" applyBorder="1" applyAlignment="1">
      <alignment vertical="center" wrapText="1"/>
    </xf>
    <xf numFmtId="0" fontId="4" fillId="15" borderId="1" xfId="0" applyFont="1" applyFill="1" applyBorder="1" applyAlignment="1">
      <alignment horizontal="center" vertical="center" wrapText="1"/>
    </xf>
    <xf numFmtId="0" fontId="8" fillId="0" borderId="1" xfId="0" applyFont="1" applyBorder="1"/>
    <xf numFmtId="0" fontId="5" fillId="0" borderId="0" xfId="0" applyFont="1" applyAlignment="1">
      <alignment horizontal="left" wrapText="1"/>
    </xf>
    <xf numFmtId="0" fontId="6" fillId="0" borderId="8" xfId="0" applyFont="1" applyFill="1" applyBorder="1" applyAlignment="1">
      <alignment horizontal="center" vertical="center"/>
    </xf>
    <xf numFmtId="0" fontId="6" fillId="0" borderId="3" xfId="0" applyFont="1" applyFill="1" applyBorder="1" applyAlignment="1">
      <alignment horizontal="center" vertical="center"/>
    </xf>
    <xf numFmtId="0" fontId="7" fillId="0" borderId="1" xfId="0" applyFont="1" applyBorder="1"/>
    <xf numFmtId="49" fontId="0" fillId="0" borderId="0" xfId="0" applyNumberFormat="1"/>
    <xf numFmtId="49" fontId="23" fillId="0" borderId="0" xfId="0" applyNumberFormat="1" applyFont="1"/>
    <xf numFmtId="0" fontId="28" fillId="0" borderId="0" xfId="0" applyFont="1"/>
    <xf numFmtId="0" fontId="23" fillId="0" borderId="1" xfId="0" applyFont="1" applyBorder="1"/>
    <xf numFmtId="0" fontId="23" fillId="0" borderId="1" xfId="0" applyFont="1" applyBorder="1" applyAlignment="1">
      <alignment wrapText="1"/>
    </xf>
    <xf numFmtId="49" fontId="23" fillId="0" borderId="1" xfId="0" applyNumberFormat="1" applyFont="1" applyBorder="1"/>
    <xf numFmtId="0" fontId="6" fillId="17" borderId="1" xfId="0" applyFont="1" applyFill="1" applyBorder="1"/>
    <xf numFmtId="0" fontId="0" fillId="17" borderId="1" xfId="0" applyFill="1" applyBorder="1"/>
    <xf numFmtId="0" fontId="6" fillId="12" borderId="1" xfId="0" applyFont="1" applyFill="1" applyBorder="1"/>
    <xf numFmtId="0" fontId="0" fillId="12" borderId="1" xfId="0" applyFill="1" applyBorder="1"/>
    <xf numFmtId="0" fontId="6" fillId="18" borderId="1" xfId="0" applyFont="1" applyFill="1" applyBorder="1"/>
    <xf numFmtId="0" fontId="0" fillId="18" borderId="1" xfId="0" applyFill="1" applyBorder="1"/>
    <xf numFmtId="0" fontId="4" fillId="16" borderId="1" xfId="0" applyFont="1" applyFill="1" applyBorder="1" applyAlignment="1">
      <alignment horizontal="center" vertical="center" wrapText="1"/>
    </xf>
    <xf numFmtId="0" fontId="12" fillId="15" borderId="3" xfId="0" applyFont="1" applyFill="1" applyBorder="1" applyAlignment="1">
      <alignment horizontal="center" vertical="center" wrapText="1"/>
    </xf>
    <xf numFmtId="0" fontId="23" fillId="0" borderId="1" xfId="0" applyFont="1" applyBorder="1" applyAlignment="1">
      <alignment vertical="center"/>
    </xf>
    <xf numFmtId="49" fontId="23" fillId="0" borderId="1" xfId="0" applyNumberFormat="1" applyFont="1" applyBorder="1" applyAlignment="1">
      <alignment vertical="center"/>
    </xf>
    <xf numFmtId="0" fontId="5" fillId="5" borderId="1" xfId="0" applyFont="1" applyFill="1" applyBorder="1" applyAlignment="1" applyProtection="1">
      <alignment horizontal="center" vertical="center"/>
      <protection locked="0"/>
    </xf>
    <xf numFmtId="0" fontId="5" fillId="5" borderId="1" xfId="0" applyFont="1" applyFill="1" applyBorder="1" applyAlignment="1" applyProtection="1">
      <alignment horizontal="center" vertical="center" wrapText="1"/>
      <protection locked="0"/>
    </xf>
    <xf numFmtId="0" fontId="14" fillId="6" borderId="1" xfId="0" applyFont="1" applyFill="1" applyBorder="1" applyAlignment="1" applyProtection="1">
      <alignment vertical="center" wrapText="1"/>
      <protection locked="0"/>
    </xf>
    <xf numFmtId="0" fontId="5" fillId="4" borderId="1" xfId="0" applyFont="1" applyFill="1" applyBorder="1" applyAlignment="1" applyProtection="1">
      <alignment horizontal="center" vertical="center" wrapText="1"/>
      <protection locked="0"/>
    </xf>
    <xf numFmtId="0" fontId="5" fillId="0" borderId="1" xfId="0" applyFont="1" applyFill="1" applyBorder="1" applyAlignment="1" applyProtection="1">
      <alignment horizontal="center" vertical="center" wrapText="1"/>
      <protection locked="0"/>
    </xf>
    <xf numFmtId="164" fontId="5" fillId="0" borderId="1" xfId="0" applyNumberFormat="1" applyFont="1" applyFill="1" applyBorder="1" applyAlignment="1" applyProtection="1">
      <alignment horizontal="center" vertical="center" wrapText="1"/>
      <protection locked="0"/>
    </xf>
    <xf numFmtId="0" fontId="7" fillId="0" borderId="0" xfId="0" applyFont="1" applyFill="1" applyBorder="1" applyAlignment="1" applyProtection="1">
      <alignment horizontal="left" vertical="center"/>
      <protection locked="0"/>
    </xf>
    <xf numFmtId="0" fontId="7" fillId="0" borderId="0" xfId="0" applyFont="1" applyFill="1" applyAlignment="1" applyProtection="1">
      <alignment horizontal="left" vertical="center"/>
      <protection locked="0"/>
    </xf>
    <xf numFmtId="0" fontId="7" fillId="2" borderId="0" xfId="0" applyFont="1" applyFill="1" applyAlignment="1" applyProtection="1">
      <alignment horizontal="left" vertical="center"/>
      <protection locked="0"/>
    </xf>
    <xf numFmtId="0" fontId="6" fillId="12" borderId="1" xfId="0" applyFont="1" applyFill="1" applyBorder="1" applyAlignment="1" applyProtection="1">
      <alignment horizontal="center" vertical="center"/>
      <protection locked="0"/>
    </xf>
    <xf numFmtId="0" fontId="6" fillId="5" borderId="1" xfId="0" applyFont="1" applyFill="1" applyBorder="1" applyAlignment="1" applyProtection="1">
      <alignment horizontal="center" vertical="center"/>
      <protection locked="0"/>
    </xf>
    <xf numFmtId="0" fontId="8" fillId="0" borderId="0" xfId="0" applyFont="1" applyProtection="1">
      <protection locked="0"/>
    </xf>
    <xf numFmtId="0" fontId="16" fillId="8" borderId="1" xfId="0" applyFont="1" applyFill="1" applyBorder="1" applyAlignment="1" applyProtection="1">
      <alignment vertical="center" wrapText="1"/>
      <protection locked="0"/>
    </xf>
    <xf numFmtId="0" fontId="4" fillId="3" borderId="1" xfId="0" applyFont="1" applyFill="1" applyBorder="1" applyAlignment="1" applyProtection="1">
      <alignment horizontal="center" vertical="center" wrapText="1"/>
      <protection locked="0"/>
    </xf>
    <xf numFmtId="0" fontId="5" fillId="3" borderId="1" xfId="0" applyFont="1" applyFill="1" applyBorder="1" applyAlignment="1" applyProtection="1">
      <alignment horizontal="center" vertical="center" wrapText="1"/>
      <protection locked="0"/>
    </xf>
    <xf numFmtId="0" fontId="5" fillId="3" borderId="3" xfId="0" applyFont="1" applyFill="1" applyBorder="1" applyAlignment="1" applyProtection="1">
      <alignment horizontal="center" vertical="center" wrapText="1"/>
      <protection locked="0"/>
    </xf>
    <xf numFmtId="0" fontId="7" fillId="0" borderId="0" xfId="0" applyFont="1" applyProtection="1">
      <protection locked="0"/>
    </xf>
    <xf numFmtId="0" fontId="5" fillId="4" borderId="2" xfId="0" applyFont="1" applyFill="1" applyBorder="1" applyAlignment="1" applyProtection="1">
      <alignment horizontal="center" vertical="center" wrapText="1"/>
      <protection locked="0"/>
    </xf>
    <xf numFmtId="0" fontId="14" fillId="12" borderId="1" xfId="0" applyFont="1" applyFill="1" applyBorder="1" applyAlignment="1" applyProtection="1">
      <alignment vertical="center" wrapText="1"/>
      <protection locked="0"/>
    </xf>
    <xf numFmtId="0" fontId="6" fillId="0" borderId="1" xfId="0" applyFont="1" applyFill="1" applyBorder="1" applyAlignment="1" applyProtection="1">
      <alignment horizontal="center" vertical="center"/>
      <protection locked="0"/>
    </xf>
    <xf numFmtId="0" fontId="16" fillId="3" borderId="1" xfId="0" applyFont="1" applyFill="1" applyBorder="1" applyAlignment="1" applyProtection="1">
      <alignment vertical="center" wrapText="1"/>
      <protection locked="0"/>
    </xf>
    <xf numFmtId="0" fontId="14" fillId="9" borderId="1" xfId="0" applyFont="1" applyFill="1" applyBorder="1" applyAlignment="1" applyProtection="1">
      <alignment vertical="center" wrapText="1"/>
      <protection locked="0"/>
    </xf>
    <xf numFmtId="0" fontId="7" fillId="0" borderId="1" xfId="0" applyFont="1" applyFill="1" applyBorder="1" applyProtection="1">
      <protection locked="0"/>
    </xf>
    <xf numFmtId="0" fontId="14" fillId="14" borderId="1" xfId="0" applyFont="1" applyFill="1" applyBorder="1" applyAlignment="1" applyProtection="1">
      <alignment vertical="center" wrapText="1"/>
      <protection locked="0"/>
    </xf>
    <xf numFmtId="0" fontId="6" fillId="14" borderId="1" xfId="0" applyFont="1" applyFill="1" applyBorder="1" applyAlignment="1" applyProtection="1">
      <alignment horizontal="center" vertical="center"/>
      <protection locked="0"/>
    </xf>
    <xf numFmtId="0" fontId="5" fillId="0" borderId="2" xfId="0" applyFont="1" applyFill="1" applyBorder="1" applyAlignment="1" applyProtection="1">
      <alignment horizontal="center" vertical="center" wrapText="1"/>
      <protection locked="0"/>
    </xf>
    <xf numFmtId="0" fontId="5" fillId="5" borderId="1" xfId="0" applyFont="1" applyFill="1" applyBorder="1" applyAlignment="1">
      <alignment horizontal="center" vertical="center"/>
    </xf>
    <xf numFmtId="0" fontId="5" fillId="14" borderId="1" xfId="0" applyFont="1" applyFill="1" applyBorder="1" applyAlignment="1" applyProtection="1">
      <alignment horizontal="center" vertical="center" wrapText="1"/>
      <protection locked="0"/>
    </xf>
    <xf numFmtId="0" fontId="5" fillId="0" borderId="0" xfId="0" applyFont="1" applyProtection="1">
      <protection locked="0"/>
    </xf>
    <xf numFmtId="0" fontId="5" fillId="0" borderId="0" xfId="0" applyFont="1" applyFill="1" applyProtection="1">
      <protection locked="0"/>
    </xf>
    <xf numFmtId="0" fontId="5" fillId="0" borderId="0" xfId="0" applyFont="1" applyFill="1"/>
    <xf numFmtId="0" fontId="5" fillId="0" borderId="2" xfId="0" applyFont="1" applyFill="1" applyBorder="1" applyAlignment="1">
      <alignment horizontal="center" vertical="center" wrapText="1"/>
    </xf>
    <xf numFmtId="0" fontId="5" fillId="0" borderId="9"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xf>
    <xf numFmtId="0" fontId="5" fillId="0" borderId="0" xfId="0" applyFont="1" applyFill="1" applyBorder="1" applyAlignment="1">
      <alignment horizontal="left" vertical="center"/>
    </xf>
    <xf numFmtId="0" fontId="5" fillId="19" borderId="1" xfId="0" applyFont="1" applyFill="1" applyBorder="1" applyAlignment="1" applyProtection="1">
      <alignment horizontal="center" vertical="center" wrapText="1"/>
      <protection locked="0"/>
    </xf>
    <xf numFmtId="0" fontId="5" fillId="19"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5" borderId="2" xfId="0" applyFont="1" applyFill="1" applyBorder="1" applyAlignment="1" applyProtection="1">
      <alignment horizontal="center" vertical="center" wrapText="1"/>
      <protection locked="0"/>
    </xf>
    <xf numFmtId="0" fontId="5" fillId="5" borderId="7" xfId="0" applyFont="1" applyFill="1" applyBorder="1" applyAlignment="1" applyProtection="1">
      <alignment horizontal="center" vertical="center" wrapText="1"/>
      <protection locked="0"/>
    </xf>
    <xf numFmtId="0" fontId="5" fillId="5" borderId="3" xfId="0" applyFont="1" applyFill="1" applyBorder="1" applyAlignment="1" applyProtection="1">
      <alignment horizontal="center" vertical="center" wrapText="1"/>
      <protection locked="0"/>
    </xf>
    <xf numFmtId="0" fontId="13" fillId="16" borderId="7" xfId="0" applyFont="1" applyFill="1" applyBorder="1" applyAlignment="1">
      <alignment horizontal="center" vertical="center" wrapText="1"/>
    </xf>
    <xf numFmtId="0" fontId="5" fillId="0" borderId="0" xfId="0" applyFont="1" applyAlignment="1">
      <alignment horizontal="left" wrapText="1"/>
    </xf>
    <xf numFmtId="0" fontId="5" fillId="5" borderId="3" xfId="0" applyFont="1" applyFill="1" applyBorder="1" applyAlignment="1">
      <alignment horizontal="center" vertical="center" wrapText="1"/>
    </xf>
    <xf numFmtId="0" fontId="16" fillId="7" borderId="1" xfId="2" applyNumberFormat="1" applyFont="1" applyFill="1" applyBorder="1" applyAlignment="1">
      <alignment horizontal="center" vertical="center" wrapText="1"/>
    </xf>
    <xf numFmtId="0" fontId="5" fillId="0" borderId="1" xfId="2" applyFont="1" applyFill="1" applyBorder="1" applyAlignment="1" applyProtection="1">
      <alignment horizontal="center" vertical="center" wrapText="1"/>
      <protection locked="0"/>
    </xf>
    <xf numFmtId="0" fontId="4" fillId="16" borderId="1" xfId="2" applyFont="1" applyFill="1" applyBorder="1" applyAlignment="1">
      <alignment horizontal="center" vertical="center" wrapText="1"/>
    </xf>
    <xf numFmtId="0" fontId="12" fillId="16" borderId="1" xfId="2" applyFont="1" applyFill="1" applyBorder="1" applyAlignment="1">
      <alignment horizontal="center" vertical="center" wrapText="1"/>
    </xf>
    <xf numFmtId="164" fontId="5" fillId="14" borderId="1" xfId="0" applyNumberFormat="1" applyFont="1" applyFill="1" applyBorder="1" applyAlignment="1" applyProtection="1">
      <alignment horizontal="center" vertical="center" wrapText="1"/>
      <protection locked="0"/>
    </xf>
    <xf numFmtId="0" fontId="7" fillId="0" borderId="1" xfId="0" applyFont="1" applyBorder="1" applyProtection="1">
      <protection locked="0"/>
    </xf>
    <xf numFmtId="0" fontId="5" fillId="19" borderId="1" xfId="5" applyFont="1" applyFill="1" applyBorder="1" applyAlignment="1">
      <alignment horizontal="center" vertical="center" wrapText="1"/>
    </xf>
    <xf numFmtId="0" fontId="5" fillId="0" borderId="1" xfId="2" applyFont="1" applyFill="1" applyBorder="1" applyAlignment="1" applyProtection="1">
      <alignment horizontal="center" vertical="center" wrapText="1"/>
      <protection locked="0"/>
    </xf>
    <xf numFmtId="0" fontId="5" fillId="12" borderId="1" xfId="2" applyFont="1" applyFill="1" applyBorder="1" applyAlignment="1" applyProtection="1">
      <alignment horizontal="center" vertical="center"/>
      <protection locked="0"/>
    </xf>
    <xf numFmtId="0" fontId="5" fillId="14" borderId="1" xfId="2" applyFont="1" applyFill="1" applyBorder="1" applyAlignment="1" applyProtection="1">
      <alignment horizontal="center" vertical="center"/>
      <protection locked="0"/>
    </xf>
    <xf numFmtId="0" fontId="6" fillId="14" borderId="1" xfId="2" applyFont="1" applyFill="1" applyBorder="1" applyAlignment="1" applyProtection="1">
      <alignment horizontal="center" vertical="center"/>
      <protection locked="0"/>
    </xf>
    <xf numFmtId="0" fontId="6" fillId="0" borderId="1" xfId="2" applyFont="1" applyFill="1" applyBorder="1" applyAlignment="1" applyProtection="1">
      <alignment horizontal="center" vertical="center"/>
      <protection locked="0"/>
    </xf>
    <xf numFmtId="0" fontId="6" fillId="14" borderId="1" xfId="2" applyFont="1" applyFill="1" applyBorder="1" applyAlignment="1" applyProtection="1">
      <alignment horizontal="center" vertical="center"/>
      <protection locked="0"/>
    </xf>
    <xf numFmtId="0" fontId="4" fillId="12" borderId="1" xfId="2" applyFont="1" applyFill="1" applyBorder="1" applyAlignment="1">
      <alignment horizontal="center" vertical="center" wrapText="1"/>
    </xf>
    <xf numFmtId="0" fontId="12" fillId="12" borderId="1" xfId="2" applyFont="1" applyFill="1" applyBorder="1" applyAlignment="1">
      <alignment horizontal="center" vertical="center" wrapText="1"/>
    </xf>
    <xf numFmtId="0" fontId="14" fillId="6" borderId="1" xfId="2" applyFont="1" applyFill="1" applyBorder="1" applyAlignment="1">
      <alignment vertical="center" wrapText="1"/>
    </xf>
    <xf numFmtId="0" fontId="5" fillId="0" borderId="1" xfId="2" applyFont="1" applyFill="1" applyBorder="1" applyAlignment="1" applyProtection="1">
      <alignment horizontal="center" vertical="center" wrapText="1"/>
      <protection locked="0"/>
    </xf>
    <xf numFmtId="49" fontId="16" fillId="7"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14" fillId="6" borderId="1" xfId="0" applyFont="1" applyFill="1" applyBorder="1" applyAlignment="1">
      <alignment vertical="center" wrapText="1"/>
    </xf>
    <xf numFmtId="49" fontId="16" fillId="7" borderId="1"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5" fillId="0" borderId="1" xfId="0" applyFont="1" applyFill="1" applyBorder="1" applyAlignment="1" applyProtection="1">
      <alignment horizontal="center" vertical="center" wrapText="1"/>
      <protection locked="0"/>
    </xf>
    <xf numFmtId="0" fontId="5" fillId="13" borderId="1" xfId="0" applyFont="1" applyFill="1" applyBorder="1" applyAlignment="1">
      <alignment horizontal="center" vertical="center" wrapText="1"/>
    </xf>
    <xf numFmtId="0" fontId="5" fillId="0" borderId="1" xfId="2" applyFont="1" applyFill="1" applyBorder="1" applyAlignment="1">
      <alignment horizontal="center" vertical="center" wrapText="1"/>
    </xf>
    <xf numFmtId="0" fontId="5" fillId="4" borderId="1" xfId="2" applyFont="1" applyFill="1" applyBorder="1" applyAlignment="1">
      <alignment horizontal="center" vertical="center" wrapText="1"/>
    </xf>
    <xf numFmtId="0" fontId="5" fillId="0" borderId="2" xfId="2" applyFont="1" applyFill="1" applyBorder="1" applyAlignment="1">
      <alignment horizontal="center" vertical="center" wrapText="1"/>
    </xf>
    <xf numFmtId="0" fontId="5" fillId="0" borderId="1" xfId="2" applyFont="1" applyFill="1" applyBorder="1" applyAlignment="1" applyProtection="1">
      <alignment horizontal="center" vertical="center" wrapText="1"/>
      <protection locked="0"/>
    </xf>
    <xf numFmtId="14" fontId="5" fillId="0" borderId="0" xfId="0" applyNumberFormat="1" applyFont="1" applyFill="1" applyAlignment="1">
      <alignment horizontal="left"/>
    </xf>
    <xf numFmtId="49" fontId="4" fillId="7" borderId="1" xfId="0" applyNumberFormat="1" applyFont="1" applyFill="1" applyBorder="1" applyAlignment="1">
      <alignment horizontal="center" vertical="center" wrapText="1"/>
    </xf>
    <xf numFmtId="0" fontId="5" fillId="0" borderId="0" xfId="0" applyFont="1" applyFill="1" applyAlignment="1">
      <alignment horizontal="left"/>
    </xf>
    <xf numFmtId="0" fontId="6" fillId="8" borderId="1" xfId="0" applyFont="1" applyFill="1" applyBorder="1" applyAlignment="1">
      <alignment horizontal="center" vertical="center"/>
    </xf>
    <xf numFmtId="0" fontId="14" fillId="13" borderId="2" xfId="0" applyFont="1" applyFill="1" applyBorder="1" applyAlignment="1">
      <alignment vertical="center"/>
    </xf>
    <xf numFmtId="0" fontId="14" fillId="14" borderId="2" xfId="0" applyFont="1" applyFill="1" applyBorder="1" applyAlignment="1">
      <alignment vertical="center"/>
    </xf>
    <xf numFmtId="0" fontId="5" fillId="0" borderId="0" xfId="0" applyFont="1" applyFill="1" applyAlignment="1">
      <alignment horizontal="left"/>
    </xf>
    <xf numFmtId="0" fontId="5" fillId="5" borderId="2" xfId="0" applyFont="1" applyFill="1" applyBorder="1" applyAlignment="1" applyProtection="1">
      <alignment horizontal="center" vertical="center" wrapText="1"/>
      <protection locked="0"/>
    </xf>
    <xf numFmtId="0" fontId="5" fillId="5" borderId="7" xfId="0" applyFont="1" applyFill="1" applyBorder="1" applyAlignment="1" applyProtection="1">
      <alignment horizontal="center" vertical="center" wrapText="1"/>
      <protection locked="0"/>
    </xf>
    <xf numFmtId="0" fontId="5" fillId="5" borderId="3" xfId="0" applyFont="1" applyFill="1" applyBorder="1" applyAlignment="1" applyProtection="1">
      <alignment horizontal="center" vertical="center" wrapText="1"/>
      <protection locked="0"/>
    </xf>
    <xf numFmtId="0" fontId="13" fillId="16" borderId="1" xfId="0" applyFont="1" applyFill="1" applyBorder="1" applyAlignment="1">
      <alignment horizontal="center" vertical="center" wrapText="1"/>
    </xf>
    <xf numFmtId="0" fontId="13" fillId="16" borderId="7" xfId="0" applyFont="1" applyFill="1" applyBorder="1" applyAlignment="1">
      <alignment horizontal="center" vertical="center" wrapText="1"/>
    </xf>
    <xf numFmtId="0" fontId="13" fillId="16" borderId="3" xfId="0" applyFont="1" applyFill="1" applyBorder="1" applyAlignment="1">
      <alignment horizontal="center" vertical="center" wrapText="1"/>
    </xf>
    <xf numFmtId="0" fontId="5" fillId="0" borderId="0" xfId="0" applyFont="1" applyAlignment="1" applyProtection="1">
      <alignment horizontal="left" vertical="center"/>
      <protection locked="0"/>
    </xf>
    <xf numFmtId="0" fontId="5" fillId="5" borderId="2" xfId="0" applyFont="1" applyFill="1" applyBorder="1" applyAlignment="1" applyProtection="1">
      <alignment horizontal="center" vertical="center"/>
      <protection locked="0"/>
    </xf>
    <xf numFmtId="0" fontId="5" fillId="5" borderId="7" xfId="0" applyFont="1" applyFill="1" applyBorder="1" applyAlignment="1" applyProtection="1">
      <alignment horizontal="center" vertical="center"/>
      <protection locked="0"/>
    </xf>
    <xf numFmtId="0" fontId="5" fillId="5" borderId="3" xfId="0" applyFont="1" applyFill="1" applyBorder="1" applyAlignment="1" applyProtection="1">
      <alignment horizontal="center" vertical="center"/>
      <protection locked="0"/>
    </xf>
    <xf numFmtId="0" fontId="5" fillId="0" borderId="0" xfId="0" applyFont="1" applyAlignment="1">
      <alignment horizontal="left" wrapText="1"/>
    </xf>
    <xf numFmtId="0" fontId="4" fillId="16" borderId="1" xfId="0" applyFont="1" applyFill="1" applyBorder="1" applyAlignment="1">
      <alignment horizontal="center" vertical="center" wrapText="1"/>
    </xf>
    <xf numFmtId="0" fontId="22" fillId="16" borderId="2" xfId="0" applyFont="1" applyFill="1" applyBorder="1" applyAlignment="1">
      <alignment horizontal="left" vertical="center" wrapText="1"/>
    </xf>
    <xf numFmtId="0" fontId="22" fillId="16" borderId="3" xfId="0" applyFont="1" applyFill="1" applyBorder="1" applyAlignment="1">
      <alignment horizontal="left" vertical="center" wrapText="1"/>
    </xf>
    <xf numFmtId="0" fontId="4" fillId="0" borderId="6" xfId="0" applyFont="1" applyBorder="1" applyAlignment="1" applyProtection="1">
      <alignment horizontal="left" vertical="center"/>
      <protection locked="0"/>
    </xf>
    <xf numFmtId="0" fontId="5" fillId="5" borderId="1" xfId="0" applyFont="1" applyFill="1" applyBorder="1" applyAlignment="1" applyProtection="1">
      <alignment horizontal="center" vertical="center" wrapText="1"/>
      <protection locked="0"/>
    </xf>
    <xf numFmtId="0" fontId="5" fillId="0" borderId="0" xfId="0" applyFont="1" applyFill="1" applyAlignment="1" applyProtection="1">
      <alignment horizontal="left"/>
      <protection locked="0"/>
    </xf>
    <xf numFmtId="0" fontId="4" fillId="0" borderId="6" xfId="0" applyFont="1" applyBorder="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3" fillId="12" borderId="2" xfId="0" applyFont="1" applyFill="1" applyBorder="1" applyAlignment="1">
      <alignment horizontal="center" vertical="center" wrapText="1"/>
    </xf>
    <xf numFmtId="0" fontId="13" fillId="12" borderId="7" xfId="0" applyFont="1" applyFill="1" applyBorder="1" applyAlignment="1">
      <alignment horizontal="center" vertical="center" wrapText="1"/>
    </xf>
    <xf numFmtId="0" fontId="13" fillId="12" borderId="3" xfId="0" applyFont="1" applyFill="1" applyBorder="1" applyAlignment="1">
      <alignment horizontal="center" vertical="center" wrapText="1"/>
    </xf>
    <xf numFmtId="0" fontId="13" fillId="12" borderId="2" xfId="0" applyFont="1" applyFill="1" applyBorder="1" applyAlignment="1">
      <alignment horizontal="left" vertical="center" wrapText="1"/>
    </xf>
    <xf numFmtId="0" fontId="13" fillId="12" borderId="3" xfId="0" applyFont="1" applyFill="1" applyBorder="1" applyAlignment="1">
      <alignment horizontal="left" vertical="center" wrapText="1"/>
    </xf>
    <xf numFmtId="0" fontId="4" fillId="12" borderId="1" xfId="0" applyFont="1" applyFill="1" applyBorder="1" applyAlignment="1">
      <alignment horizontal="center" vertical="center" wrapText="1"/>
    </xf>
    <xf numFmtId="0" fontId="13" fillId="15" borderId="2" xfId="0" applyFont="1" applyFill="1" applyBorder="1" applyAlignment="1">
      <alignment horizontal="center" vertical="center" wrapText="1"/>
    </xf>
    <xf numFmtId="0" fontId="13" fillId="15" borderId="7" xfId="0" applyFont="1" applyFill="1" applyBorder="1" applyAlignment="1">
      <alignment horizontal="center" vertical="center" wrapText="1"/>
    </xf>
    <xf numFmtId="0" fontId="13" fillId="15" borderId="3" xfId="0" applyFont="1" applyFill="1" applyBorder="1" applyAlignment="1">
      <alignment horizontal="center" vertical="center" wrapText="1"/>
    </xf>
    <xf numFmtId="0" fontId="24" fillId="0" borderId="0" xfId="0" applyFont="1" applyAlignment="1">
      <alignment horizontal="left" vertical="center"/>
    </xf>
    <xf numFmtId="0" fontId="5" fillId="0" borderId="2" xfId="0" applyFont="1" applyFill="1" applyBorder="1" applyAlignment="1" applyProtection="1">
      <alignment horizontal="center" vertical="center" wrapText="1"/>
      <protection locked="0"/>
    </xf>
    <xf numFmtId="0" fontId="5" fillId="0" borderId="7" xfId="0"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center" wrapText="1"/>
      <protection locked="0"/>
    </xf>
    <xf numFmtId="0" fontId="5" fillId="13" borderId="2" xfId="0" applyFont="1" applyFill="1" applyBorder="1" applyAlignment="1" applyProtection="1">
      <alignment horizontal="center" vertical="center" wrapText="1"/>
      <protection locked="0"/>
    </xf>
    <xf numFmtId="0" fontId="5" fillId="13" borderId="7" xfId="0" applyFont="1" applyFill="1" applyBorder="1" applyAlignment="1" applyProtection="1">
      <alignment horizontal="center" vertical="center" wrapText="1"/>
      <protection locked="0"/>
    </xf>
    <xf numFmtId="0" fontId="5" fillId="13" borderId="3" xfId="0" applyFont="1" applyFill="1" applyBorder="1" applyAlignment="1" applyProtection="1">
      <alignment horizontal="center" vertical="center" wrapText="1"/>
      <protection locked="0"/>
    </xf>
    <xf numFmtId="0" fontId="5" fillId="0" borderId="2"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16" fillId="7" borderId="2" xfId="0" applyNumberFormat="1" applyFont="1" applyFill="1" applyBorder="1" applyAlignment="1">
      <alignment horizontal="center" vertical="center" wrapText="1"/>
    </xf>
    <xf numFmtId="0" fontId="16" fillId="7" borderId="7" xfId="0" applyNumberFormat="1" applyFont="1" applyFill="1" applyBorder="1" applyAlignment="1">
      <alignment horizontal="center" vertical="center" wrapText="1"/>
    </xf>
    <xf numFmtId="0" fontId="16" fillId="7" borderId="3" xfId="0" applyNumberFormat="1" applyFont="1" applyFill="1" applyBorder="1" applyAlignment="1">
      <alignment horizontal="center" vertical="center" wrapText="1"/>
    </xf>
    <xf numFmtId="0" fontId="12" fillId="15" borderId="2" xfId="0" applyFont="1" applyFill="1" applyBorder="1" applyAlignment="1">
      <alignment horizontal="center" vertical="center" wrapText="1"/>
    </xf>
    <xf numFmtId="0" fontId="12" fillId="15" borderId="7" xfId="0" applyFont="1" applyFill="1" applyBorder="1" applyAlignment="1">
      <alignment horizontal="center" vertical="center" wrapText="1"/>
    </xf>
    <xf numFmtId="0" fontId="12" fillId="15" borderId="3" xfId="0" applyFont="1" applyFill="1" applyBorder="1" applyAlignment="1">
      <alignment horizontal="center" vertical="center" wrapText="1"/>
    </xf>
    <xf numFmtId="49" fontId="16" fillId="7" borderId="2" xfId="0" applyNumberFormat="1" applyFont="1" applyFill="1" applyBorder="1" applyAlignment="1">
      <alignment horizontal="center" vertical="center" wrapText="1"/>
    </xf>
    <xf numFmtId="49" fontId="16" fillId="7" borderId="7" xfId="0" applyNumberFormat="1" applyFont="1" applyFill="1" applyBorder="1" applyAlignment="1">
      <alignment horizontal="center" vertical="center" wrapText="1"/>
    </xf>
    <xf numFmtId="49" fontId="16" fillId="7" borderId="3" xfId="0" applyNumberFormat="1" applyFont="1" applyFill="1" applyBorder="1" applyAlignment="1">
      <alignment horizontal="center" vertical="center" wrapText="1"/>
    </xf>
    <xf numFmtId="49" fontId="4" fillId="15" borderId="2" xfId="0" applyNumberFormat="1" applyFont="1" applyFill="1" applyBorder="1" applyAlignment="1">
      <alignment horizontal="center" vertical="center" wrapText="1"/>
    </xf>
    <xf numFmtId="49" fontId="4" fillId="15" borderId="7" xfId="0" applyNumberFormat="1" applyFont="1" applyFill="1" applyBorder="1" applyAlignment="1">
      <alignment horizontal="center" vertical="center" wrapText="1"/>
    </xf>
    <xf numFmtId="49" fontId="4" fillId="15" borderId="3" xfId="0" applyNumberFormat="1" applyFont="1" applyFill="1" applyBorder="1" applyAlignment="1">
      <alignment horizontal="center" vertical="center" wrapText="1"/>
    </xf>
    <xf numFmtId="0" fontId="4" fillId="15" borderId="2" xfId="0" applyFont="1" applyFill="1" applyBorder="1" applyAlignment="1">
      <alignment horizontal="center" vertical="center" wrapText="1"/>
    </xf>
    <xf numFmtId="0" fontId="4" fillId="15" borderId="7" xfId="0" applyFont="1" applyFill="1" applyBorder="1" applyAlignment="1">
      <alignment horizontal="center" vertical="center" wrapText="1"/>
    </xf>
    <xf numFmtId="0" fontId="4" fillId="15" borderId="3" xfId="0" applyFont="1" applyFill="1" applyBorder="1" applyAlignment="1">
      <alignment horizontal="center" vertical="center" wrapText="1"/>
    </xf>
    <xf numFmtId="0" fontId="22" fillId="15" borderId="2" xfId="0" applyFont="1" applyFill="1" applyBorder="1" applyAlignment="1">
      <alignment horizontal="left" vertical="center" wrapText="1"/>
    </xf>
    <xf numFmtId="0" fontId="22" fillId="15" borderId="3" xfId="0" applyFont="1" applyFill="1" applyBorder="1" applyAlignment="1">
      <alignment horizontal="left" vertical="center" wrapText="1"/>
    </xf>
    <xf numFmtId="0" fontId="4" fillId="15" borderId="1" xfId="0" applyFont="1" applyFill="1" applyBorder="1" applyAlignment="1">
      <alignment horizontal="center" vertical="center" wrapText="1"/>
    </xf>
    <xf numFmtId="0" fontId="5" fillId="0" borderId="6" xfId="0" applyFont="1" applyBorder="1" applyAlignment="1">
      <alignment horizontal="left" vertical="center"/>
    </xf>
    <xf numFmtId="0" fontId="6" fillId="14" borderId="7" xfId="0" applyFont="1" applyFill="1" applyBorder="1" applyAlignment="1">
      <alignment horizontal="center" vertical="center"/>
    </xf>
    <xf numFmtId="0" fontId="6" fillId="14" borderId="3" xfId="0" applyFont="1" applyFill="1" applyBorder="1" applyAlignment="1">
      <alignment horizontal="center" vertical="center"/>
    </xf>
    <xf numFmtId="0" fontId="6" fillId="13" borderId="7" xfId="0" applyFont="1" applyFill="1" applyBorder="1" applyAlignment="1">
      <alignment horizontal="center" vertical="center" wrapText="1"/>
    </xf>
    <xf numFmtId="0" fontId="6" fillId="13" borderId="3" xfId="0" applyFont="1" applyFill="1" applyBorder="1" applyAlignment="1">
      <alignment horizontal="center" vertical="center" wrapText="1"/>
    </xf>
  </cellXfs>
  <cellStyles count="18">
    <cellStyle name="Normal" xfId="0" builtinId="0"/>
    <cellStyle name="Normal 2" xfId="1"/>
    <cellStyle name="Normal 2 2" xfId="4"/>
    <cellStyle name="Normal 2 2 2" xfId="7"/>
    <cellStyle name="Normal 2 2 2 2" xfId="12"/>
    <cellStyle name="Normal 2 2 2 3" xfId="17"/>
    <cellStyle name="Normal 2 2 3" xfId="9"/>
    <cellStyle name="Normal 2 2 4" xfId="14"/>
    <cellStyle name="Normal 2 3" xfId="3"/>
    <cellStyle name="Normal 2 3 2" xfId="11"/>
    <cellStyle name="Normal 2 3 3" xfId="16"/>
    <cellStyle name="Normal 2 4" xfId="6"/>
    <cellStyle name="Normal 2 4 2" xfId="10"/>
    <cellStyle name="Normal 2 4 3" xfId="15"/>
    <cellStyle name="Normal 2 5" xfId="8"/>
    <cellStyle name="Normal 2 6" xfId="13"/>
    <cellStyle name="Normal 3" xfId="2"/>
    <cellStyle name="Normal 4" xfId="5"/>
  </cellStyles>
  <dxfs count="0"/>
  <tableStyles count="0" defaultTableStyle="TableStyleMedium9" defaultPivotStyle="PivotStyleLight16"/>
  <colors>
    <mruColors>
      <color rgb="FFFF9966"/>
      <color rgb="FFFF0000"/>
      <color rgb="FFFFFF00"/>
      <color rgb="FF008000"/>
      <color rgb="FF99CCFF"/>
      <color rgb="FF66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0</xdr:colOff>
      <xdr:row>27</xdr:row>
      <xdr:rowOff>0</xdr:rowOff>
    </xdr:from>
    <xdr:to>
      <xdr:col>17</xdr:col>
      <xdr:colOff>15875</xdr:colOff>
      <xdr:row>27</xdr:row>
      <xdr:rowOff>269875</xdr:rowOff>
    </xdr:to>
    <xdr:sp macro="" textlink="">
      <xdr:nvSpPr>
        <xdr:cNvPr id="2" name="Rettvinklet trekant 1"/>
        <xdr:cNvSpPr/>
      </xdr:nvSpPr>
      <xdr:spPr>
        <a:xfrm>
          <a:off x="10588625" y="11017250"/>
          <a:ext cx="7699375" cy="269875"/>
        </a:xfrm>
        <a:prstGeom prst="rtTriangle">
          <a:avLst/>
        </a:prstGeom>
        <a:solidFill>
          <a:schemeClr val="accent5">
            <a:lumMod val="20000"/>
            <a:lumOff val="80000"/>
          </a:schemeClr>
        </a:solidFill>
        <a:ln w="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7</xdr:col>
      <xdr:colOff>882650</xdr:colOff>
      <xdr:row>28</xdr:row>
      <xdr:rowOff>9525</xdr:rowOff>
    </xdr:from>
    <xdr:to>
      <xdr:col>17</xdr:col>
      <xdr:colOff>9525</xdr:colOff>
      <xdr:row>28</xdr:row>
      <xdr:rowOff>279400</xdr:rowOff>
    </xdr:to>
    <xdr:sp macro="" textlink="">
      <xdr:nvSpPr>
        <xdr:cNvPr id="3" name="Rettvinklet trekant 2"/>
        <xdr:cNvSpPr/>
      </xdr:nvSpPr>
      <xdr:spPr>
        <a:xfrm>
          <a:off x="10582275" y="11312525"/>
          <a:ext cx="7699375" cy="269875"/>
        </a:xfrm>
        <a:prstGeom prst="rtTriangle">
          <a:avLst/>
        </a:prstGeom>
        <a:solidFill>
          <a:schemeClr val="accent5">
            <a:lumMod val="20000"/>
            <a:lumOff val="80000"/>
          </a:schemeClr>
        </a:solidFill>
        <a:ln w="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7</xdr:col>
      <xdr:colOff>876300</xdr:colOff>
      <xdr:row>29</xdr:row>
      <xdr:rowOff>19050</xdr:rowOff>
    </xdr:from>
    <xdr:to>
      <xdr:col>17</xdr:col>
      <xdr:colOff>3175</xdr:colOff>
      <xdr:row>30</xdr:row>
      <xdr:rowOff>3175</xdr:rowOff>
    </xdr:to>
    <xdr:sp macro="" textlink="">
      <xdr:nvSpPr>
        <xdr:cNvPr id="4" name="Rettvinklet trekant 3"/>
        <xdr:cNvSpPr/>
      </xdr:nvSpPr>
      <xdr:spPr>
        <a:xfrm>
          <a:off x="10575925" y="11607800"/>
          <a:ext cx="7699375" cy="269875"/>
        </a:xfrm>
        <a:prstGeom prst="rtTriangle">
          <a:avLst/>
        </a:prstGeom>
        <a:solidFill>
          <a:schemeClr val="accent5">
            <a:lumMod val="20000"/>
            <a:lumOff val="80000"/>
          </a:schemeClr>
        </a:solidFill>
        <a:ln w="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7</xdr:col>
      <xdr:colOff>885825</xdr:colOff>
      <xdr:row>30</xdr:row>
      <xdr:rowOff>28575</xdr:rowOff>
    </xdr:from>
    <xdr:to>
      <xdr:col>17</xdr:col>
      <xdr:colOff>12700</xdr:colOff>
      <xdr:row>31</xdr:row>
      <xdr:rowOff>12700</xdr:rowOff>
    </xdr:to>
    <xdr:sp macro="" textlink="">
      <xdr:nvSpPr>
        <xdr:cNvPr id="5" name="Rettvinklet trekant 4"/>
        <xdr:cNvSpPr/>
      </xdr:nvSpPr>
      <xdr:spPr>
        <a:xfrm>
          <a:off x="10585450" y="11903075"/>
          <a:ext cx="7699375" cy="269875"/>
        </a:xfrm>
        <a:prstGeom prst="rtTriangle">
          <a:avLst/>
        </a:prstGeom>
        <a:solidFill>
          <a:schemeClr val="accent5">
            <a:lumMod val="20000"/>
            <a:lumOff val="80000"/>
          </a:schemeClr>
        </a:solidFill>
        <a:ln w="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8</xdr:col>
      <xdr:colOff>0</xdr:colOff>
      <xdr:row>31</xdr:row>
      <xdr:rowOff>0</xdr:rowOff>
    </xdr:from>
    <xdr:to>
      <xdr:col>17</xdr:col>
      <xdr:colOff>15875</xdr:colOff>
      <xdr:row>31</xdr:row>
      <xdr:rowOff>269875</xdr:rowOff>
    </xdr:to>
    <xdr:sp macro="" textlink="">
      <xdr:nvSpPr>
        <xdr:cNvPr id="6" name="Rettvinklet trekant 5"/>
        <xdr:cNvSpPr/>
      </xdr:nvSpPr>
      <xdr:spPr>
        <a:xfrm>
          <a:off x="10588625" y="12160250"/>
          <a:ext cx="7699375" cy="269875"/>
        </a:xfrm>
        <a:prstGeom prst="rtTriangle">
          <a:avLst/>
        </a:prstGeom>
        <a:solidFill>
          <a:schemeClr val="accent5">
            <a:lumMod val="20000"/>
            <a:lumOff val="80000"/>
          </a:schemeClr>
        </a:solidFill>
        <a:ln w="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8</xdr:col>
      <xdr:colOff>0</xdr:colOff>
      <xdr:row>32</xdr:row>
      <xdr:rowOff>0</xdr:rowOff>
    </xdr:from>
    <xdr:to>
      <xdr:col>17</xdr:col>
      <xdr:colOff>15875</xdr:colOff>
      <xdr:row>32</xdr:row>
      <xdr:rowOff>269875</xdr:rowOff>
    </xdr:to>
    <xdr:sp macro="" textlink="">
      <xdr:nvSpPr>
        <xdr:cNvPr id="7" name="Rettvinklet trekant 6"/>
        <xdr:cNvSpPr/>
      </xdr:nvSpPr>
      <xdr:spPr>
        <a:xfrm>
          <a:off x="10588625" y="12446000"/>
          <a:ext cx="7699375" cy="269875"/>
        </a:xfrm>
        <a:prstGeom prst="rtTriangle">
          <a:avLst/>
        </a:prstGeom>
        <a:solidFill>
          <a:schemeClr val="accent5">
            <a:lumMod val="20000"/>
            <a:lumOff val="80000"/>
          </a:schemeClr>
        </a:solidFill>
        <a:ln w="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25</xdr:row>
      <xdr:rowOff>19050</xdr:rowOff>
    </xdr:from>
    <xdr:to>
      <xdr:col>22</xdr:col>
      <xdr:colOff>0</xdr:colOff>
      <xdr:row>26</xdr:row>
      <xdr:rowOff>0</xdr:rowOff>
    </xdr:to>
    <xdr:sp macro="" textlink="">
      <xdr:nvSpPr>
        <xdr:cNvPr id="3" name="Rettvinklet trekant 2"/>
        <xdr:cNvSpPr/>
      </xdr:nvSpPr>
      <xdr:spPr>
        <a:xfrm>
          <a:off x="11391900" y="11772900"/>
          <a:ext cx="13506450" cy="304800"/>
        </a:xfrm>
        <a:prstGeom prst="rtTriangle">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8</xdr:col>
      <xdr:colOff>0</xdr:colOff>
      <xdr:row>26</xdr:row>
      <xdr:rowOff>0</xdr:rowOff>
    </xdr:from>
    <xdr:to>
      <xdr:col>22</xdr:col>
      <xdr:colOff>0</xdr:colOff>
      <xdr:row>26</xdr:row>
      <xdr:rowOff>304800</xdr:rowOff>
    </xdr:to>
    <xdr:sp macro="" textlink="">
      <xdr:nvSpPr>
        <xdr:cNvPr id="4" name="Rettvinklet trekant 3"/>
        <xdr:cNvSpPr/>
      </xdr:nvSpPr>
      <xdr:spPr>
        <a:xfrm>
          <a:off x="11391900" y="12077700"/>
          <a:ext cx="13506450" cy="304800"/>
        </a:xfrm>
        <a:prstGeom prst="rtTriangle">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8</xdr:col>
      <xdr:colOff>0</xdr:colOff>
      <xdr:row>27</xdr:row>
      <xdr:rowOff>0</xdr:rowOff>
    </xdr:from>
    <xdr:to>
      <xdr:col>22</xdr:col>
      <xdr:colOff>0</xdr:colOff>
      <xdr:row>27</xdr:row>
      <xdr:rowOff>304800</xdr:rowOff>
    </xdr:to>
    <xdr:sp macro="" textlink="">
      <xdr:nvSpPr>
        <xdr:cNvPr id="5" name="Rettvinklet trekant 4"/>
        <xdr:cNvSpPr/>
      </xdr:nvSpPr>
      <xdr:spPr>
        <a:xfrm>
          <a:off x="11391900" y="12401550"/>
          <a:ext cx="13506450" cy="304800"/>
        </a:xfrm>
        <a:prstGeom prst="rtTriangle">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8</xdr:col>
      <xdr:colOff>0</xdr:colOff>
      <xdr:row>28</xdr:row>
      <xdr:rowOff>0</xdr:rowOff>
    </xdr:from>
    <xdr:to>
      <xdr:col>22</xdr:col>
      <xdr:colOff>0</xdr:colOff>
      <xdr:row>28</xdr:row>
      <xdr:rowOff>304800</xdr:rowOff>
    </xdr:to>
    <xdr:sp macro="" textlink="">
      <xdr:nvSpPr>
        <xdr:cNvPr id="6" name="Rettvinklet trekant 5"/>
        <xdr:cNvSpPr/>
      </xdr:nvSpPr>
      <xdr:spPr>
        <a:xfrm>
          <a:off x="11391900" y="12725400"/>
          <a:ext cx="13506450" cy="304800"/>
        </a:xfrm>
        <a:prstGeom prst="rtTriangle">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8</xdr:col>
      <xdr:colOff>0</xdr:colOff>
      <xdr:row>29</xdr:row>
      <xdr:rowOff>0</xdr:rowOff>
    </xdr:from>
    <xdr:to>
      <xdr:col>22</xdr:col>
      <xdr:colOff>0</xdr:colOff>
      <xdr:row>29</xdr:row>
      <xdr:rowOff>304800</xdr:rowOff>
    </xdr:to>
    <xdr:sp macro="" textlink="">
      <xdr:nvSpPr>
        <xdr:cNvPr id="7" name="Rettvinklet trekant 6"/>
        <xdr:cNvSpPr/>
      </xdr:nvSpPr>
      <xdr:spPr>
        <a:xfrm>
          <a:off x="11391900" y="13049250"/>
          <a:ext cx="13506450" cy="304800"/>
        </a:xfrm>
        <a:prstGeom prst="rtTriangle">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8</xdr:col>
      <xdr:colOff>0</xdr:colOff>
      <xdr:row>30</xdr:row>
      <xdr:rowOff>0</xdr:rowOff>
    </xdr:from>
    <xdr:to>
      <xdr:col>22</xdr:col>
      <xdr:colOff>0</xdr:colOff>
      <xdr:row>30</xdr:row>
      <xdr:rowOff>304800</xdr:rowOff>
    </xdr:to>
    <xdr:sp macro="" textlink="">
      <xdr:nvSpPr>
        <xdr:cNvPr id="8" name="Rettvinklet trekant 7"/>
        <xdr:cNvSpPr/>
      </xdr:nvSpPr>
      <xdr:spPr>
        <a:xfrm>
          <a:off x="11391900" y="13392150"/>
          <a:ext cx="13506450" cy="304800"/>
        </a:xfrm>
        <a:prstGeom prst="rtTriangle">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DV69"/>
  <sheetViews>
    <sheetView zoomScale="60" zoomScaleNormal="60" workbookViewId="0">
      <pane xSplit="2" ySplit="8" topLeftCell="C15" activePane="bottomRight" state="frozen"/>
      <selection pane="topRight" activeCell="C1" sqref="C1"/>
      <selection pane="bottomLeft" activeCell="A9" sqref="A9"/>
      <selection pane="bottomRight" activeCell="S24" sqref="S24"/>
    </sheetView>
  </sheetViews>
  <sheetFormatPr baseColWidth="10" defaultColWidth="18.42578125" defaultRowHeight="27" x14ac:dyDescent="0.35"/>
  <cols>
    <col min="1" max="1" width="57.42578125" style="1" customWidth="1"/>
    <col min="2" max="2" width="13.42578125" style="1" hidden="1" customWidth="1"/>
    <col min="3" max="3" width="15.85546875" style="1" customWidth="1"/>
    <col min="4" max="4" width="16.5703125" style="1" customWidth="1"/>
    <col min="5" max="5" width="17.42578125" style="1" customWidth="1"/>
    <col min="6" max="7" width="12.28515625" style="1" customWidth="1"/>
    <col min="8" max="8" width="14.140625" style="1" customWidth="1"/>
    <col min="9" max="9" width="12.7109375" style="1" customWidth="1"/>
    <col min="10" max="13" width="12.28515625" style="1" customWidth="1"/>
    <col min="14" max="14" width="13.28515625" style="1" customWidth="1"/>
    <col min="15" max="15" width="12.28515625" style="1" customWidth="1"/>
    <col min="16" max="16" width="13.42578125" style="1" customWidth="1"/>
    <col min="17" max="17" width="14" style="1" customWidth="1"/>
    <col min="18" max="18" width="14.140625" style="1" customWidth="1"/>
    <col min="19" max="19" width="15.28515625" style="1" customWidth="1"/>
    <col min="20" max="20" width="18.42578125" style="1" customWidth="1"/>
    <col min="21" max="21" width="12.7109375" style="1" customWidth="1"/>
    <col min="22" max="22" width="13.140625" style="1" customWidth="1"/>
    <col min="23" max="16384" width="18.42578125" style="1"/>
  </cols>
  <sheetData>
    <row r="1" spans="1:126" s="6" customFormat="1" ht="117.75" customHeight="1" x14ac:dyDescent="0.75">
      <c r="A1" s="80" t="s">
        <v>276</v>
      </c>
      <c r="B1" s="54"/>
      <c r="C1" s="55" t="s">
        <v>5</v>
      </c>
      <c r="D1" s="54"/>
      <c r="E1" s="54"/>
      <c r="F1" s="54"/>
      <c r="G1" s="56"/>
      <c r="H1" s="56"/>
      <c r="I1" s="56"/>
      <c r="J1" s="56"/>
      <c r="K1" s="56"/>
      <c r="L1" s="56"/>
      <c r="M1" s="56"/>
      <c r="N1" s="56"/>
      <c r="O1" s="56"/>
      <c r="P1" s="56"/>
      <c r="Q1" s="56"/>
      <c r="R1" s="56"/>
      <c r="S1" s="56"/>
      <c r="T1" s="56"/>
      <c r="U1" s="57"/>
      <c r="V1" s="57"/>
    </row>
    <row r="2" spans="1:126" ht="23.25" customHeight="1" x14ac:dyDescent="0.35">
      <c r="A2" s="211" t="s">
        <v>167</v>
      </c>
      <c r="B2" s="212"/>
      <c r="C2" s="202"/>
      <c r="D2" s="202"/>
      <c r="E2" s="202"/>
      <c r="F2" s="202" t="s">
        <v>4</v>
      </c>
      <c r="G2" s="202"/>
      <c r="H2" s="202"/>
      <c r="I2" s="202"/>
      <c r="J2" s="202"/>
      <c r="K2" s="202"/>
      <c r="L2" s="202"/>
      <c r="M2" s="202"/>
      <c r="N2" s="202"/>
      <c r="O2" s="202"/>
      <c r="P2" s="202"/>
      <c r="Q2" s="202"/>
      <c r="R2" s="202"/>
      <c r="S2" s="156"/>
      <c r="T2" s="203" t="s">
        <v>64</v>
      </c>
      <c r="U2" s="203"/>
      <c r="V2" s="204"/>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row>
    <row r="3" spans="1:126" ht="66.75" customHeight="1" x14ac:dyDescent="0.35">
      <c r="A3" s="78" t="s">
        <v>58</v>
      </c>
      <c r="B3" s="111"/>
      <c r="C3" s="202" t="s">
        <v>257</v>
      </c>
      <c r="D3" s="202"/>
      <c r="E3" s="202"/>
      <c r="F3" s="79" t="s">
        <v>10</v>
      </c>
      <c r="G3" s="79" t="s">
        <v>11</v>
      </c>
      <c r="H3" s="79" t="s">
        <v>14</v>
      </c>
      <c r="I3" s="79" t="s">
        <v>15</v>
      </c>
      <c r="J3" s="79" t="s">
        <v>16</v>
      </c>
      <c r="K3" s="79" t="s">
        <v>12</v>
      </c>
      <c r="L3" s="79" t="s">
        <v>17</v>
      </c>
      <c r="M3" s="79" t="s">
        <v>18</v>
      </c>
      <c r="N3" s="79" t="s">
        <v>13</v>
      </c>
      <c r="O3" s="79" t="s">
        <v>27</v>
      </c>
      <c r="P3" s="79" t="s">
        <v>28</v>
      </c>
      <c r="Q3" s="79" t="s">
        <v>29</v>
      </c>
      <c r="R3" s="79" t="s">
        <v>41</v>
      </c>
      <c r="S3" s="162" t="s">
        <v>271</v>
      </c>
      <c r="T3" s="162" t="s">
        <v>214</v>
      </c>
      <c r="U3" s="162" t="s">
        <v>265</v>
      </c>
      <c r="V3" s="162" t="s">
        <v>266</v>
      </c>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row>
    <row r="4" spans="1:126" ht="27" customHeight="1" x14ac:dyDescent="0.35">
      <c r="A4" s="78" t="s">
        <v>7</v>
      </c>
      <c r="B4" s="77"/>
      <c r="C4" s="210"/>
      <c r="D4" s="210"/>
      <c r="E4" s="210"/>
      <c r="F4" s="77">
        <v>1</v>
      </c>
      <c r="G4" s="77">
        <v>3</v>
      </c>
      <c r="H4" s="77">
        <v>5</v>
      </c>
      <c r="I4" s="77">
        <v>7</v>
      </c>
      <c r="J4" s="77">
        <v>9</v>
      </c>
      <c r="K4" s="77">
        <v>11</v>
      </c>
      <c r="L4" s="77">
        <v>13</v>
      </c>
      <c r="M4" s="77">
        <v>15</v>
      </c>
      <c r="N4" s="77">
        <v>17</v>
      </c>
      <c r="O4" s="77">
        <v>19</v>
      </c>
      <c r="P4" s="77">
        <v>21</v>
      </c>
      <c r="Q4" s="77">
        <v>23</v>
      </c>
      <c r="R4" s="77">
        <v>25</v>
      </c>
      <c r="S4" s="161">
        <v>27</v>
      </c>
      <c r="T4" s="161" t="s">
        <v>215</v>
      </c>
      <c r="U4" s="161" t="s">
        <v>246</v>
      </c>
      <c r="V4" s="161" t="s">
        <v>245</v>
      </c>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row>
    <row r="5" spans="1:126" ht="60.75" x14ac:dyDescent="0.35">
      <c r="A5" s="51" t="s">
        <v>54</v>
      </c>
      <c r="B5" s="28"/>
      <c r="C5" s="29" t="s">
        <v>0</v>
      </c>
      <c r="D5" s="29" t="s">
        <v>136</v>
      </c>
      <c r="E5" s="29" t="s">
        <v>204</v>
      </c>
      <c r="F5" s="29" t="s">
        <v>3</v>
      </c>
      <c r="G5" s="33" t="s">
        <v>211</v>
      </c>
      <c r="H5" s="159" t="s">
        <v>212</v>
      </c>
      <c r="I5" s="159" t="s">
        <v>213</v>
      </c>
      <c r="J5" s="159" t="s">
        <v>190</v>
      </c>
      <c r="K5" s="159" t="s">
        <v>191</v>
      </c>
      <c r="L5" s="159" t="s">
        <v>192</v>
      </c>
      <c r="M5" s="159" t="s">
        <v>193</v>
      </c>
      <c r="N5" s="159" t="s">
        <v>194</v>
      </c>
      <c r="O5" s="159" t="s">
        <v>195</v>
      </c>
      <c r="P5" s="159" t="s">
        <v>196</v>
      </c>
      <c r="Q5" s="159" t="s">
        <v>197</v>
      </c>
      <c r="R5" s="159" t="s">
        <v>198</v>
      </c>
      <c r="S5" s="159" t="s">
        <v>199</v>
      </c>
      <c r="T5" s="159" t="s">
        <v>239</v>
      </c>
      <c r="U5" s="159" t="s">
        <v>264</v>
      </c>
      <c r="V5" s="159" t="s">
        <v>281</v>
      </c>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row>
    <row r="6" spans="1:126" s="5" customFormat="1" ht="24" customHeight="1" x14ac:dyDescent="0.2">
      <c r="A6" s="52" t="s">
        <v>8</v>
      </c>
      <c r="B6" s="12"/>
      <c r="C6" s="12"/>
      <c r="D6" s="12"/>
      <c r="E6" s="12"/>
      <c r="F6" s="34"/>
      <c r="G6" s="35">
        <f>(F6+14)</f>
        <v>14</v>
      </c>
      <c r="H6" s="35">
        <f>(G6+14)</f>
        <v>28</v>
      </c>
      <c r="I6" s="35">
        <f>(H6+14)</f>
        <v>42</v>
      </c>
      <c r="J6" s="35">
        <f t="shared" ref="J6:S6" si="0">(I6+14)</f>
        <v>56</v>
      </c>
      <c r="K6" s="35">
        <f t="shared" si="0"/>
        <v>70</v>
      </c>
      <c r="L6" s="35">
        <f t="shared" si="0"/>
        <v>84</v>
      </c>
      <c r="M6" s="35">
        <f t="shared" si="0"/>
        <v>98</v>
      </c>
      <c r="N6" s="35">
        <f t="shared" si="0"/>
        <v>112</v>
      </c>
      <c r="O6" s="35">
        <f t="shared" si="0"/>
        <v>126</v>
      </c>
      <c r="P6" s="35">
        <f t="shared" si="0"/>
        <v>140</v>
      </c>
      <c r="Q6" s="35">
        <f t="shared" si="0"/>
        <v>154</v>
      </c>
      <c r="R6" s="35">
        <f t="shared" si="0"/>
        <v>168</v>
      </c>
      <c r="S6" s="35">
        <f t="shared" si="0"/>
        <v>182</v>
      </c>
      <c r="T6" s="35"/>
      <c r="U6" s="35">
        <f>(F6+359)</f>
        <v>359</v>
      </c>
      <c r="V6" s="35">
        <f>(F6+719)</f>
        <v>719</v>
      </c>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8"/>
      <c r="DG6" s="18"/>
      <c r="DH6" s="18"/>
      <c r="DI6" s="18"/>
      <c r="DJ6" s="18"/>
      <c r="DK6" s="18"/>
      <c r="DL6" s="18"/>
      <c r="DM6" s="18"/>
      <c r="DN6" s="18"/>
      <c r="DO6" s="18"/>
      <c r="DP6" s="18"/>
      <c r="DQ6" s="18"/>
      <c r="DR6" s="18"/>
      <c r="DS6" s="18"/>
      <c r="DT6" s="18"/>
      <c r="DU6" s="18"/>
      <c r="DV6" s="18"/>
    </row>
    <row r="7" spans="1:126" s="3" customFormat="1" ht="30.75" customHeight="1" x14ac:dyDescent="0.2">
      <c r="A7" s="53" t="s">
        <v>9</v>
      </c>
      <c r="B7" s="12"/>
      <c r="C7" s="58"/>
      <c r="D7" s="58"/>
      <c r="E7" s="58"/>
      <c r="F7" s="58"/>
      <c r="G7" s="59"/>
      <c r="H7" s="59"/>
      <c r="I7" s="59"/>
      <c r="J7" s="59"/>
      <c r="K7" s="59"/>
      <c r="L7" s="59"/>
      <c r="M7" s="59"/>
      <c r="N7" s="59"/>
      <c r="O7" s="59"/>
      <c r="P7" s="59"/>
      <c r="Q7" s="59"/>
      <c r="R7" s="59"/>
      <c r="S7" s="59"/>
      <c r="T7" s="59"/>
      <c r="U7" s="59"/>
      <c r="V7" s="5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20"/>
      <c r="DG7" s="20"/>
      <c r="DH7" s="20"/>
      <c r="DI7" s="20"/>
      <c r="DJ7" s="20"/>
      <c r="DK7" s="20"/>
      <c r="DL7" s="20"/>
      <c r="DM7" s="20"/>
      <c r="DN7" s="20"/>
      <c r="DO7" s="20"/>
      <c r="DP7" s="20"/>
      <c r="DQ7" s="20"/>
      <c r="DR7" s="20"/>
      <c r="DS7" s="20"/>
      <c r="DT7" s="20"/>
      <c r="DU7" s="20"/>
      <c r="DV7" s="20"/>
    </row>
    <row r="8" spans="1:126" s="3" customFormat="1" ht="18.75" customHeight="1" x14ac:dyDescent="0.2">
      <c r="A8" s="39" t="s">
        <v>77</v>
      </c>
      <c r="B8" s="37" t="s">
        <v>2</v>
      </c>
      <c r="C8" s="37"/>
      <c r="D8" s="37"/>
      <c r="E8" s="60"/>
      <c r="F8" s="9"/>
      <c r="G8" s="13"/>
      <c r="H8" s="13"/>
      <c r="I8" s="13"/>
      <c r="J8" s="13"/>
      <c r="K8" s="13"/>
      <c r="L8" s="13"/>
      <c r="M8" s="13"/>
      <c r="N8" s="13"/>
      <c r="O8" s="13"/>
      <c r="P8" s="13"/>
      <c r="Q8" s="13"/>
      <c r="R8" s="13"/>
      <c r="S8" s="13"/>
      <c r="T8" s="13"/>
      <c r="U8" s="13"/>
      <c r="V8" s="13"/>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20"/>
      <c r="DG8" s="20"/>
      <c r="DH8" s="20"/>
      <c r="DI8" s="20"/>
      <c r="DJ8" s="20"/>
      <c r="DK8" s="20"/>
      <c r="DL8" s="20"/>
      <c r="DM8" s="20"/>
      <c r="DN8" s="20"/>
      <c r="DO8" s="20"/>
      <c r="DP8" s="20"/>
      <c r="DQ8" s="20"/>
      <c r="DR8" s="20"/>
      <c r="DS8" s="20"/>
      <c r="DT8" s="20"/>
      <c r="DU8" s="20"/>
      <c r="DV8" s="20"/>
    </row>
    <row r="9" spans="1:126" s="123" customFormat="1" ht="22.5" customHeight="1" x14ac:dyDescent="0.2">
      <c r="A9" s="117" t="s">
        <v>43</v>
      </c>
      <c r="B9" s="118" t="s">
        <v>26</v>
      </c>
      <c r="C9" s="118" t="s">
        <v>40</v>
      </c>
      <c r="D9" s="118"/>
      <c r="E9" s="116"/>
      <c r="F9" s="119"/>
      <c r="G9" s="120"/>
      <c r="H9" s="120"/>
      <c r="I9" s="120"/>
      <c r="J9" s="120"/>
      <c r="K9" s="120"/>
      <c r="L9" s="120"/>
      <c r="M9" s="120"/>
      <c r="N9" s="120"/>
      <c r="O9" s="120"/>
      <c r="P9" s="120"/>
      <c r="Q9" s="120"/>
      <c r="R9" s="120"/>
      <c r="S9" s="120"/>
      <c r="T9" s="120"/>
      <c r="U9" s="120"/>
      <c r="V9" s="120"/>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c r="CF9" s="121"/>
      <c r="CG9" s="121"/>
      <c r="CH9" s="121"/>
      <c r="CI9" s="121"/>
      <c r="CJ9" s="121"/>
      <c r="CK9" s="121"/>
      <c r="CL9" s="121"/>
      <c r="CM9" s="121"/>
      <c r="CN9" s="121"/>
      <c r="CO9" s="121"/>
      <c r="CP9" s="121"/>
      <c r="CQ9" s="121"/>
      <c r="CR9" s="121"/>
      <c r="CS9" s="121"/>
      <c r="CT9" s="121"/>
      <c r="CU9" s="121"/>
      <c r="CV9" s="121"/>
      <c r="CW9" s="121"/>
      <c r="CX9" s="121"/>
      <c r="CY9" s="121"/>
      <c r="CZ9" s="121"/>
      <c r="DA9" s="121"/>
      <c r="DB9" s="121"/>
      <c r="DC9" s="121"/>
      <c r="DD9" s="121"/>
      <c r="DE9" s="121"/>
      <c r="DF9" s="122"/>
      <c r="DG9" s="122"/>
      <c r="DH9" s="122"/>
      <c r="DI9" s="122"/>
      <c r="DJ9" s="122"/>
      <c r="DK9" s="122"/>
      <c r="DL9" s="122"/>
      <c r="DM9" s="122"/>
      <c r="DN9" s="122"/>
      <c r="DO9" s="122"/>
      <c r="DP9" s="122"/>
      <c r="DQ9" s="122"/>
      <c r="DR9" s="122"/>
      <c r="DS9" s="122"/>
      <c r="DT9" s="122"/>
      <c r="DU9" s="122"/>
      <c r="DV9" s="122"/>
    </row>
    <row r="10" spans="1:126" s="123" customFormat="1" ht="22.5" customHeight="1" x14ac:dyDescent="0.2">
      <c r="A10" s="117" t="s">
        <v>44</v>
      </c>
      <c r="B10" s="118" t="s">
        <v>26</v>
      </c>
      <c r="C10" s="118" t="s">
        <v>40</v>
      </c>
      <c r="D10" s="118"/>
      <c r="E10" s="160" t="s">
        <v>206</v>
      </c>
      <c r="F10" s="119"/>
      <c r="G10" s="120"/>
      <c r="H10" s="120"/>
      <c r="I10" s="120"/>
      <c r="J10" s="120"/>
      <c r="K10" s="120"/>
      <c r="L10" s="120"/>
      <c r="M10" s="120"/>
      <c r="N10" s="120"/>
      <c r="O10" s="120"/>
      <c r="P10" s="120"/>
      <c r="Q10" s="120"/>
      <c r="R10" s="120"/>
      <c r="S10" s="120"/>
      <c r="T10" s="120"/>
      <c r="U10" s="120"/>
      <c r="V10" s="120"/>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c r="BY10" s="121"/>
      <c r="BZ10" s="121"/>
      <c r="CA10" s="121"/>
      <c r="CB10" s="121"/>
      <c r="CC10" s="121"/>
      <c r="CD10" s="121"/>
      <c r="CE10" s="121"/>
      <c r="CF10" s="121"/>
      <c r="CG10" s="121"/>
      <c r="CH10" s="121"/>
      <c r="CI10" s="121"/>
      <c r="CJ10" s="121"/>
      <c r="CK10" s="121"/>
      <c r="CL10" s="121"/>
      <c r="CM10" s="121"/>
      <c r="CN10" s="121"/>
      <c r="CO10" s="121"/>
      <c r="CP10" s="121"/>
      <c r="CQ10" s="121"/>
      <c r="CR10" s="121"/>
      <c r="CS10" s="121"/>
      <c r="CT10" s="121"/>
      <c r="CU10" s="121"/>
      <c r="CV10" s="121"/>
      <c r="CW10" s="121"/>
      <c r="CX10" s="121"/>
      <c r="CY10" s="121"/>
      <c r="CZ10" s="121"/>
      <c r="DA10" s="121"/>
      <c r="DB10" s="121"/>
      <c r="DC10" s="121"/>
      <c r="DD10" s="121"/>
      <c r="DE10" s="121"/>
      <c r="DF10" s="122"/>
      <c r="DG10" s="122"/>
      <c r="DH10" s="122"/>
      <c r="DI10" s="122"/>
      <c r="DJ10" s="122"/>
      <c r="DK10" s="122"/>
      <c r="DL10" s="122"/>
      <c r="DM10" s="122"/>
      <c r="DN10" s="122"/>
      <c r="DO10" s="122"/>
      <c r="DP10" s="122"/>
      <c r="DQ10" s="122"/>
      <c r="DR10" s="122"/>
      <c r="DS10" s="122"/>
      <c r="DT10" s="122"/>
      <c r="DU10" s="122"/>
      <c r="DV10" s="122"/>
    </row>
    <row r="11" spans="1:126" s="123" customFormat="1" ht="42.75" customHeight="1" x14ac:dyDescent="0.2">
      <c r="A11" s="117" t="s">
        <v>45</v>
      </c>
      <c r="B11" s="118" t="s">
        <v>26</v>
      </c>
      <c r="C11" s="118"/>
      <c r="D11" s="118" t="s">
        <v>40</v>
      </c>
      <c r="E11" s="116" t="s">
        <v>61</v>
      </c>
      <c r="F11" s="119"/>
      <c r="G11" s="120"/>
      <c r="H11" s="120"/>
      <c r="I11" s="116" t="s">
        <v>210</v>
      </c>
      <c r="J11" s="120"/>
      <c r="K11" s="120"/>
      <c r="L11" s="120"/>
      <c r="M11" s="120"/>
      <c r="N11" s="120"/>
      <c r="O11" s="120"/>
      <c r="P11" s="120"/>
      <c r="Q11" s="120"/>
      <c r="R11" s="120"/>
      <c r="S11" s="120"/>
      <c r="T11" s="120"/>
      <c r="U11" s="120"/>
      <c r="V11" s="120"/>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c r="BY11" s="121"/>
      <c r="BZ11" s="121"/>
      <c r="CA11" s="121"/>
      <c r="CB11" s="121"/>
      <c r="CC11" s="121"/>
      <c r="CD11" s="121"/>
      <c r="CE11" s="121"/>
      <c r="CF11" s="121"/>
      <c r="CG11" s="121"/>
      <c r="CH11" s="121"/>
      <c r="CI11" s="121"/>
      <c r="CJ11" s="121"/>
      <c r="CK11" s="121"/>
      <c r="CL11" s="121"/>
      <c r="CM11" s="121"/>
      <c r="CN11" s="121"/>
      <c r="CO11" s="121"/>
      <c r="CP11" s="121"/>
      <c r="CQ11" s="121"/>
      <c r="CR11" s="121"/>
      <c r="CS11" s="121"/>
      <c r="CT11" s="121"/>
      <c r="CU11" s="121"/>
      <c r="CV11" s="121"/>
      <c r="CW11" s="121"/>
      <c r="CX11" s="121"/>
      <c r="CY11" s="121"/>
      <c r="CZ11" s="121"/>
      <c r="DA11" s="121"/>
      <c r="DB11" s="121"/>
      <c r="DC11" s="121"/>
      <c r="DD11" s="121"/>
      <c r="DE11" s="121"/>
      <c r="DF11" s="122"/>
      <c r="DG11" s="122"/>
      <c r="DH11" s="122"/>
      <c r="DI11" s="122"/>
      <c r="DJ11" s="122"/>
      <c r="DK11" s="122"/>
      <c r="DL11" s="122"/>
      <c r="DM11" s="122"/>
      <c r="DN11" s="122"/>
      <c r="DO11" s="122"/>
      <c r="DP11" s="122"/>
      <c r="DQ11" s="122"/>
      <c r="DR11" s="122"/>
      <c r="DS11" s="122"/>
      <c r="DT11" s="122"/>
      <c r="DU11" s="122"/>
      <c r="DV11" s="122"/>
    </row>
    <row r="12" spans="1:126" s="123" customFormat="1" ht="43.5" customHeight="1" x14ac:dyDescent="0.2">
      <c r="A12" s="117" t="s">
        <v>53</v>
      </c>
      <c r="B12" s="118" t="s">
        <v>26</v>
      </c>
      <c r="C12" s="118" t="s">
        <v>40</v>
      </c>
      <c r="D12" s="118"/>
      <c r="E12" s="116"/>
      <c r="F12" s="119"/>
      <c r="G12" s="120"/>
      <c r="H12" s="120"/>
      <c r="I12" s="120"/>
      <c r="J12" s="120"/>
      <c r="K12" s="120"/>
      <c r="L12" s="120"/>
      <c r="M12" s="120"/>
      <c r="N12" s="120"/>
      <c r="O12" s="120"/>
      <c r="P12" s="120"/>
      <c r="Q12" s="120"/>
      <c r="R12" s="120"/>
      <c r="S12" s="120"/>
      <c r="T12" s="120"/>
      <c r="U12" s="120"/>
      <c r="V12" s="120"/>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c r="CI12" s="121"/>
      <c r="CJ12" s="121"/>
      <c r="CK12" s="121"/>
      <c r="CL12" s="121"/>
      <c r="CM12" s="121"/>
      <c r="CN12" s="121"/>
      <c r="CO12" s="121"/>
      <c r="CP12" s="121"/>
      <c r="CQ12" s="121"/>
      <c r="CR12" s="121"/>
      <c r="CS12" s="121"/>
      <c r="CT12" s="121"/>
      <c r="CU12" s="121"/>
      <c r="CV12" s="121"/>
      <c r="CW12" s="121"/>
      <c r="CX12" s="121"/>
      <c r="CY12" s="121"/>
      <c r="CZ12" s="121"/>
      <c r="DA12" s="121"/>
      <c r="DB12" s="121"/>
      <c r="DC12" s="121"/>
      <c r="DD12" s="121"/>
      <c r="DE12" s="121"/>
      <c r="DF12" s="122"/>
      <c r="DG12" s="122"/>
      <c r="DH12" s="122"/>
      <c r="DI12" s="122"/>
      <c r="DJ12" s="122"/>
      <c r="DK12" s="122"/>
      <c r="DL12" s="122"/>
      <c r="DM12" s="122"/>
      <c r="DN12" s="122"/>
      <c r="DO12" s="122"/>
      <c r="DP12" s="122"/>
      <c r="DQ12" s="122"/>
      <c r="DR12" s="122"/>
      <c r="DS12" s="122"/>
      <c r="DT12" s="122"/>
      <c r="DU12" s="122"/>
      <c r="DV12" s="122"/>
    </row>
    <row r="13" spans="1:126" s="123" customFormat="1" ht="24" customHeight="1" x14ac:dyDescent="0.2">
      <c r="A13" s="117" t="s">
        <v>187</v>
      </c>
      <c r="B13" s="118" t="s">
        <v>26</v>
      </c>
      <c r="C13" s="118" t="s">
        <v>40</v>
      </c>
      <c r="D13" s="118"/>
      <c r="E13" s="160" t="s">
        <v>206</v>
      </c>
      <c r="F13" s="119"/>
      <c r="G13" s="120"/>
      <c r="H13" s="120"/>
      <c r="I13" s="120" t="s">
        <v>40</v>
      </c>
      <c r="J13" s="120"/>
      <c r="K13" s="120"/>
      <c r="L13" s="120" t="s">
        <v>40</v>
      </c>
      <c r="M13" s="120"/>
      <c r="N13" s="120"/>
      <c r="O13" s="134"/>
      <c r="P13" s="120"/>
      <c r="Q13" s="120"/>
      <c r="R13" s="120" t="s">
        <v>40</v>
      </c>
      <c r="S13" s="120"/>
      <c r="T13" s="120"/>
      <c r="U13" s="120"/>
      <c r="V13" s="120"/>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2"/>
      <c r="DG13" s="122"/>
      <c r="DH13" s="122"/>
      <c r="DI13" s="122"/>
      <c r="DJ13" s="122"/>
      <c r="DK13" s="122"/>
      <c r="DL13" s="122"/>
      <c r="DM13" s="122"/>
      <c r="DN13" s="122"/>
      <c r="DO13" s="122"/>
      <c r="DP13" s="122"/>
      <c r="DQ13" s="122"/>
      <c r="DR13" s="122"/>
      <c r="DS13" s="122"/>
      <c r="DT13" s="122"/>
      <c r="DU13" s="122"/>
      <c r="DV13" s="122"/>
    </row>
    <row r="14" spans="1:126" s="123" customFormat="1" ht="39" customHeight="1" x14ac:dyDescent="0.2">
      <c r="A14" s="117" t="s">
        <v>157</v>
      </c>
      <c r="B14" s="118" t="s">
        <v>26</v>
      </c>
      <c r="C14" s="118" t="s">
        <v>40</v>
      </c>
      <c r="D14" s="118"/>
      <c r="E14" s="160" t="s">
        <v>206</v>
      </c>
      <c r="F14" s="119"/>
      <c r="G14" s="116" t="s">
        <v>181</v>
      </c>
      <c r="H14" s="116"/>
      <c r="I14" s="116" t="s">
        <v>182</v>
      </c>
      <c r="J14" s="116"/>
      <c r="K14" s="116"/>
      <c r="L14" s="116" t="s">
        <v>40</v>
      </c>
      <c r="M14" s="119"/>
      <c r="N14" s="119"/>
      <c r="O14" s="119"/>
      <c r="P14" s="119"/>
      <c r="Q14" s="119"/>
      <c r="R14" s="116" t="s">
        <v>40</v>
      </c>
      <c r="S14" s="116"/>
      <c r="T14" s="119"/>
      <c r="U14" s="120"/>
      <c r="V14" s="120"/>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c r="BY14" s="121"/>
      <c r="BZ14" s="121"/>
      <c r="CA14" s="121"/>
      <c r="CB14" s="121"/>
      <c r="CC14" s="121"/>
      <c r="CD14" s="121"/>
      <c r="CE14" s="121"/>
      <c r="CF14" s="121"/>
      <c r="CG14" s="121"/>
      <c r="CH14" s="121"/>
      <c r="CI14" s="121"/>
      <c r="CJ14" s="121"/>
      <c r="CK14" s="121"/>
      <c r="CL14" s="121"/>
      <c r="CM14" s="121"/>
      <c r="CN14" s="121"/>
      <c r="CO14" s="121"/>
      <c r="CP14" s="121"/>
      <c r="CQ14" s="121"/>
      <c r="CR14" s="121"/>
      <c r="CS14" s="121"/>
      <c r="CT14" s="121"/>
      <c r="CU14" s="121"/>
      <c r="CV14" s="121"/>
      <c r="CW14" s="121"/>
      <c r="CX14" s="121"/>
      <c r="CY14" s="121"/>
      <c r="CZ14" s="121"/>
      <c r="DA14" s="121"/>
      <c r="DB14" s="121"/>
      <c r="DC14" s="121"/>
      <c r="DD14" s="121"/>
      <c r="DE14" s="121"/>
      <c r="DF14" s="122"/>
      <c r="DG14" s="122"/>
      <c r="DH14" s="122"/>
      <c r="DI14" s="122"/>
      <c r="DJ14" s="122"/>
      <c r="DK14" s="122"/>
      <c r="DL14" s="122"/>
      <c r="DM14" s="122"/>
      <c r="DN14" s="122"/>
      <c r="DO14" s="122"/>
      <c r="DP14" s="122"/>
      <c r="DQ14" s="122"/>
      <c r="DR14" s="122"/>
      <c r="DS14" s="122"/>
      <c r="DT14" s="122"/>
      <c r="DU14" s="122"/>
      <c r="DV14" s="122"/>
    </row>
    <row r="15" spans="1:126" s="123" customFormat="1" ht="24" customHeight="1" x14ac:dyDescent="0.2">
      <c r="A15" s="117" t="s">
        <v>216</v>
      </c>
      <c r="B15" s="118" t="s">
        <v>26</v>
      </c>
      <c r="C15" s="118" t="s">
        <v>40</v>
      </c>
      <c r="D15" s="118"/>
      <c r="E15" s="160" t="s">
        <v>206</v>
      </c>
      <c r="F15" s="119"/>
      <c r="G15" s="120" t="s">
        <v>40</v>
      </c>
      <c r="H15" s="120" t="s">
        <v>40</v>
      </c>
      <c r="I15" s="120" t="s">
        <v>40</v>
      </c>
      <c r="J15" s="120" t="s">
        <v>40</v>
      </c>
      <c r="K15" s="120"/>
      <c r="L15" s="120" t="s">
        <v>40</v>
      </c>
      <c r="M15" s="120"/>
      <c r="N15" s="120" t="s">
        <v>40</v>
      </c>
      <c r="O15" s="124" t="s">
        <v>40</v>
      </c>
      <c r="P15" s="163" t="s">
        <v>40</v>
      </c>
      <c r="Q15" s="120"/>
      <c r="R15" s="120" t="s">
        <v>66</v>
      </c>
      <c r="S15" s="120" t="s">
        <v>40</v>
      </c>
      <c r="T15" s="120"/>
      <c r="U15" s="120"/>
      <c r="V15" s="120"/>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c r="BZ15" s="121"/>
      <c r="CA15" s="121"/>
      <c r="CB15" s="121"/>
      <c r="CC15" s="121"/>
      <c r="CD15" s="121"/>
      <c r="CE15" s="121"/>
      <c r="CF15" s="121"/>
      <c r="CG15" s="121"/>
      <c r="CH15" s="121"/>
      <c r="CI15" s="121"/>
      <c r="CJ15" s="121"/>
      <c r="CK15" s="121"/>
      <c r="CL15" s="121"/>
      <c r="CM15" s="121"/>
      <c r="CN15" s="121"/>
      <c r="CO15" s="121"/>
      <c r="CP15" s="121"/>
      <c r="CQ15" s="121"/>
      <c r="CR15" s="121"/>
      <c r="CS15" s="121"/>
      <c r="CT15" s="121"/>
      <c r="CU15" s="121"/>
      <c r="CV15" s="121"/>
      <c r="CW15" s="121"/>
      <c r="CX15" s="121"/>
      <c r="CY15" s="121"/>
      <c r="CZ15" s="121"/>
      <c r="DA15" s="121"/>
      <c r="DB15" s="121"/>
      <c r="DC15" s="121"/>
      <c r="DD15" s="121"/>
      <c r="DE15" s="121"/>
      <c r="DF15" s="122"/>
      <c r="DG15" s="122"/>
      <c r="DH15" s="122"/>
      <c r="DI15" s="122"/>
      <c r="DJ15" s="122"/>
      <c r="DK15" s="122"/>
      <c r="DL15" s="122"/>
      <c r="DM15" s="122"/>
      <c r="DN15" s="122"/>
      <c r="DO15" s="122"/>
      <c r="DP15" s="122"/>
      <c r="DQ15" s="122"/>
      <c r="DR15" s="122"/>
      <c r="DS15" s="122"/>
      <c r="DT15" s="122"/>
      <c r="DU15" s="122"/>
      <c r="DV15" s="122"/>
    </row>
    <row r="16" spans="1:126" s="123" customFormat="1" ht="27.75" customHeight="1" x14ac:dyDescent="0.2">
      <c r="A16" s="117" t="s">
        <v>189</v>
      </c>
      <c r="B16" s="118" t="s">
        <v>26</v>
      </c>
      <c r="C16" s="118" t="s">
        <v>40</v>
      </c>
      <c r="D16" s="118"/>
      <c r="E16" s="160" t="s">
        <v>206</v>
      </c>
      <c r="F16" s="119"/>
      <c r="G16" s="119"/>
      <c r="H16" s="119"/>
      <c r="I16" s="119"/>
      <c r="J16" s="119"/>
      <c r="K16" s="119"/>
      <c r="L16" s="119"/>
      <c r="M16" s="119"/>
      <c r="N16" s="119"/>
      <c r="O16" s="119"/>
      <c r="P16" s="119"/>
      <c r="Q16" s="119"/>
      <c r="R16" s="119"/>
      <c r="S16" s="119"/>
      <c r="T16" s="119"/>
      <c r="U16" s="119"/>
      <c r="V16" s="120"/>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c r="BY16" s="121"/>
      <c r="BZ16" s="121"/>
      <c r="CA16" s="121"/>
      <c r="CB16" s="121"/>
      <c r="CC16" s="121"/>
      <c r="CD16" s="121"/>
      <c r="CE16" s="121"/>
      <c r="CF16" s="121"/>
      <c r="CG16" s="121"/>
      <c r="CH16" s="121"/>
      <c r="CI16" s="121"/>
      <c r="CJ16" s="121"/>
      <c r="CK16" s="121"/>
      <c r="CL16" s="121"/>
      <c r="CM16" s="121"/>
      <c r="CN16" s="121"/>
      <c r="CO16" s="121"/>
      <c r="CP16" s="121"/>
      <c r="CQ16" s="121"/>
      <c r="CR16" s="121"/>
      <c r="CS16" s="121"/>
      <c r="CT16" s="121"/>
      <c r="CU16" s="121"/>
      <c r="CV16" s="121"/>
      <c r="CW16" s="121"/>
      <c r="CX16" s="121"/>
      <c r="CY16" s="121"/>
      <c r="CZ16" s="121"/>
      <c r="DA16" s="121"/>
      <c r="DB16" s="121"/>
      <c r="DC16" s="121"/>
      <c r="DD16" s="121"/>
      <c r="DE16" s="121"/>
      <c r="DF16" s="122"/>
      <c r="DG16" s="122"/>
      <c r="DH16" s="122"/>
      <c r="DI16" s="122"/>
      <c r="DJ16" s="122"/>
      <c r="DK16" s="122"/>
      <c r="DL16" s="122"/>
      <c r="DM16" s="122"/>
      <c r="DN16" s="122"/>
      <c r="DO16" s="122"/>
      <c r="DP16" s="122"/>
      <c r="DQ16" s="122"/>
      <c r="DR16" s="122"/>
      <c r="DS16" s="122"/>
      <c r="DT16" s="122"/>
      <c r="DU16" s="122"/>
      <c r="DV16" s="122"/>
    </row>
    <row r="17" spans="1:26" s="126" customFormat="1" ht="24" customHeight="1" x14ac:dyDescent="0.4">
      <c r="A17" s="117" t="s">
        <v>68</v>
      </c>
      <c r="B17" s="118" t="s">
        <v>1</v>
      </c>
      <c r="C17" s="118" t="s">
        <v>40</v>
      </c>
      <c r="D17" s="118"/>
      <c r="E17" s="160" t="s">
        <v>206</v>
      </c>
      <c r="F17" s="116"/>
      <c r="G17" s="116"/>
      <c r="H17" s="116"/>
      <c r="I17" s="116"/>
      <c r="J17" s="116"/>
      <c r="K17" s="116"/>
      <c r="L17" s="116"/>
      <c r="M17" s="116"/>
      <c r="N17" s="116"/>
      <c r="O17" s="116"/>
      <c r="P17" s="116"/>
      <c r="Q17" s="116"/>
      <c r="R17" s="116"/>
      <c r="S17" s="116"/>
      <c r="T17" s="116"/>
      <c r="U17" s="116"/>
      <c r="V17" s="125"/>
    </row>
    <row r="18" spans="1:26" s="126" customFormat="1" ht="34.5" customHeight="1" x14ac:dyDescent="0.4">
      <c r="A18" s="117" t="s">
        <v>62</v>
      </c>
      <c r="B18" s="118" t="s">
        <v>26</v>
      </c>
      <c r="C18" s="118" t="s">
        <v>61</v>
      </c>
      <c r="D18" s="118"/>
      <c r="E18" s="116" t="s">
        <v>40</v>
      </c>
      <c r="F18" s="116"/>
      <c r="G18" s="116"/>
      <c r="H18" s="116"/>
      <c r="I18" s="116" t="s">
        <v>182</v>
      </c>
      <c r="J18" s="116"/>
      <c r="K18" s="116"/>
      <c r="L18" s="116"/>
      <c r="M18" s="116"/>
      <c r="N18" s="116"/>
      <c r="O18" s="116"/>
      <c r="P18" s="116"/>
      <c r="Q18" s="116"/>
      <c r="R18" s="116" t="s">
        <v>40</v>
      </c>
      <c r="S18" s="116"/>
      <c r="T18" s="116"/>
      <c r="U18" s="116"/>
      <c r="V18" s="116"/>
    </row>
    <row r="19" spans="1:26" s="126" customFormat="1" ht="40.5" customHeight="1" x14ac:dyDescent="0.4">
      <c r="A19" s="117" t="s">
        <v>205</v>
      </c>
      <c r="B19" s="118"/>
      <c r="C19" s="118"/>
      <c r="D19" s="118" t="s">
        <v>40</v>
      </c>
      <c r="E19" s="116"/>
      <c r="F19" s="116"/>
      <c r="G19" s="116" t="s">
        <v>208</v>
      </c>
      <c r="H19" s="116"/>
      <c r="I19" s="116"/>
      <c r="J19" s="116"/>
      <c r="K19" s="116"/>
      <c r="L19" s="116"/>
      <c r="M19" s="116"/>
      <c r="N19" s="116"/>
      <c r="O19" s="116"/>
      <c r="P19" s="116"/>
      <c r="Q19" s="116"/>
      <c r="R19" s="116"/>
      <c r="S19" s="153"/>
      <c r="T19" s="153"/>
      <c r="U19" s="154"/>
      <c r="V19" s="155"/>
    </row>
    <row r="20" spans="1:26" s="126" customFormat="1" ht="45" customHeight="1" x14ac:dyDescent="0.4">
      <c r="A20" s="174" t="s">
        <v>223</v>
      </c>
      <c r="B20" s="118" t="s">
        <v>51</v>
      </c>
      <c r="C20" s="118"/>
      <c r="D20" s="118" t="s">
        <v>283</v>
      </c>
      <c r="E20" s="116"/>
      <c r="F20" s="116"/>
      <c r="G20" s="116" t="s">
        <v>181</v>
      </c>
      <c r="H20" s="116" t="s">
        <v>209</v>
      </c>
      <c r="I20" s="116" t="s">
        <v>182</v>
      </c>
      <c r="J20" s="206" t="s">
        <v>284</v>
      </c>
      <c r="K20" s="207"/>
      <c r="L20" s="208"/>
      <c r="M20" s="116"/>
      <c r="N20" s="116"/>
      <c r="O20" s="116"/>
      <c r="P20" s="116"/>
      <c r="Q20" s="116" t="s">
        <v>286</v>
      </c>
      <c r="R20" s="116"/>
      <c r="S20" s="153"/>
      <c r="T20" s="199" t="s">
        <v>267</v>
      </c>
      <c r="U20" s="200"/>
      <c r="V20" s="201"/>
    </row>
    <row r="21" spans="1:26" s="131" customFormat="1" ht="17.25" customHeight="1" x14ac:dyDescent="0.35">
      <c r="A21" s="127" t="s">
        <v>76</v>
      </c>
      <c r="B21" s="128"/>
      <c r="C21" s="129"/>
      <c r="D21" s="129"/>
      <c r="E21" s="129"/>
      <c r="F21" s="129"/>
      <c r="G21" s="129"/>
      <c r="H21" s="129"/>
      <c r="I21" s="129"/>
      <c r="J21" s="129"/>
      <c r="K21" s="129"/>
      <c r="L21" s="129"/>
      <c r="M21" s="129"/>
      <c r="N21" s="129"/>
      <c r="O21" s="129"/>
      <c r="P21" s="129"/>
      <c r="Q21" s="129"/>
      <c r="R21" s="129"/>
      <c r="S21" s="129"/>
      <c r="T21" s="129"/>
      <c r="U21" s="130"/>
      <c r="V21" s="130"/>
    </row>
    <row r="22" spans="1:26" s="126" customFormat="1" ht="24.75" customHeight="1" x14ac:dyDescent="0.4">
      <c r="A22" s="117" t="s">
        <v>63</v>
      </c>
      <c r="B22" s="118" t="s">
        <v>1</v>
      </c>
      <c r="C22" s="132" t="s">
        <v>160</v>
      </c>
      <c r="D22" s="132"/>
      <c r="E22" s="132" t="s">
        <v>160</v>
      </c>
      <c r="F22" s="116"/>
      <c r="G22" s="116"/>
      <c r="H22" s="116"/>
      <c r="I22" s="116"/>
      <c r="J22" s="116"/>
      <c r="K22" s="116"/>
      <c r="L22" s="116"/>
      <c r="M22" s="116"/>
      <c r="N22" s="116"/>
      <c r="O22" s="116"/>
      <c r="P22" s="116"/>
      <c r="Q22" s="116"/>
      <c r="R22" s="116"/>
      <c r="S22" s="116"/>
      <c r="T22" s="116"/>
      <c r="U22" s="116"/>
      <c r="V22" s="116"/>
    </row>
    <row r="23" spans="1:26" s="126" customFormat="1" ht="26.25" customHeight="1" x14ac:dyDescent="0.4">
      <c r="A23" s="138" t="s">
        <v>158</v>
      </c>
      <c r="B23" s="118" t="s">
        <v>1</v>
      </c>
      <c r="C23" s="132" t="s">
        <v>57</v>
      </c>
      <c r="D23" s="132"/>
      <c r="E23" s="132" t="s">
        <v>160</v>
      </c>
      <c r="F23" s="142" t="s">
        <v>160</v>
      </c>
      <c r="G23" s="116"/>
      <c r="H23" s="142" t="s">
        <v>57</v>
      </c>
      <c r="I23" s="116"/>
      <c r="J23" s="142" t="s">
        <v>57</v>
      </c>
      <c r="K23" s="116"/>
      <c r="L23" s="142" t="s">
        <v>57</v>
      </c>
      <c r="M23" s="116"/>
      <c r="N23" s="142" t="s">
        <v>57</v>
      </c>
      <c r="O23" s="116"/>
      <c r="P23" s="142" t="s">
        <v>57</v>
      </c>
      <c r="Q23" s="116"/>
      <c r="R23" s="119"/>
      <c r="S23" s="119"/>
      <c r="T23" s="116"/>
      <c r="U23" s="116"/>
      <c r="V23" s="125"/>
    </row>
    <row r="24" spans="1:26" s="126" customFormat="1" ht="23.25" customHeight="1" x14ac:dyDescent="0.4">
      <c r="A24" s="133" t="s">
        <v>145</v>
      </c>
      <c r="B24" s="118" t="s">
        <v>1</v>
      </c>
      <c r="C24" s="132" t="s">
        <v>57</v>
      </c>
      <c r="D24" s="132"/>
      <c r="E24" s="132" t="s">
        <v>160</v>
      </c>
      <c r="F24" s="124" t="s">
        <v>160</v>
      </c>
      <c r="G24" s="116"/>
      <c r="H24" s="124" t="s">
        <v>57</v>
      </c>
      <c r="I24" s="124" t="s">
        <v>57</v>
      </c>
      <c r="J24" s="116"/>
      <c r="K24" s="124" t="s">
        <v>57</v>
      </c>
      <c r="L24" s="124" t="s">
        <v>57</v>
      </c>
      <c r="M24" s="116"/>
      <c r="N24" s="124" t="s">
        <v>57</v>
      </c>
      <c r="O24" s="124" t="s">
        <v>57</v>
      </c>
      <c r="P24" s="116"/>
      <c r="Q24" s="124" t="s">
        <v>57</v>
      </c>
      <c r="R24" s="134"/>
      <c r="S24" s="134"/>
      <c r="T24" s="116"/>
      <c r="U24" s="116"/>
      <c r="V24" s="125"/>
    </row>
    <row r="25" spans="1:26" s="126" customFormat="1" ht="34.5" customHeight="1" x14ac:dyDescent="0.4">
      <c r="A25" s="117" t="s">
        <v>146</v>
      </c>
      <c r="B25" s="118" t="s">
        <v>1</v>
      </c>
      <c r="C25" s="132"/>
      <c r="D25" s="132"/>
      <c r="E25" s="134" t="s">
        <v>40</v>
      </c>
      <c r="F25" s="119"/>
      <c r="G25" s="116" t="s">
        <v>181</v>
      </c>
      <c r="H25" s="116"/>
      <c r="I25" s="116" t="s">
        <v>182</v>
      </c>
      <c r="J25" s="119"/>
      <c r="K25" s="134"/>
      <c r="L25" s="186" t="s">
        <v>40</v>
      </c>
      <c r="M25" s="119"/>
      <c r="N25" s="134"/>
      <c r="O25" s="134"/>
      <c r="P25" s="119"/>
      <c r="Q25" s="116" t="s">
        <v>217</v>
      </c>
      <c r="R25" s="119"/>
      <c r="S25" s="119"/>
      <c r="T25" s="116"/>
      <c r="U25" s="116"/>
      <c r="V25" s="125"/>
      <c r="W25" s="144"/>
      <c r="X25" s="144"/>
      <c r="Y25" s="143"/>
      <c r="Z25" s="143"/>
    </row>
    <row r="26" spans="1:26" s="126" customFormat="1" ht="26.25" customHeight="1" x14ac:dyDescent="0.4">
      <c r="A26" s="117" t="s">
        <v>52</v>
      </c>
      <c r="B26" s="118" t="s">
        <v>1</v>
      </c>
      <c r="C26" s="132" t="s">
        <v>61</v>
      </c>
      <c r="D26" s="132"/>
      <c r="E26" s="134" t="s">
        <v>40</v>
      </c>
      <c r="F26" s="199" t="s">
        <v>40</v>
      </c>
      <c r="G26" s="201"/>
      <c r="H26" s="199" t="s">
        <v>40</v>
      </c>
      <c r="I26" s="201"/>
      <c r="J26" s="199" t="s">
        <v>40</v>
      </c>
      <c r="K26" s="201"/>
      <c r="L26" s="199" t="s">
        <v>40</v>
      </c>
      <c r="M26" s="201"/>
      <c r="N26" s="199" t="s">
        <v>40</v>
      </c>
      <c r="O26" s="201"/>
      <c r="P26" s="214" t="s">
        <v>40</v>
      </c>
      <c r="Q26" s="214"/>
      <c r="R26" s="200" t="s">
        <v>40</v>
      </c>
      <c r="S26" s="201"/>
      <c r="T26" s="116"/>
      <c r="U26" s="116"/>
      <c r="V26" s="125"/>
    </row>
    <row r="27" spans="1:26" s="131" customFormat="1" ht="18.75" customHeight="1" x14ac:dyDescent="0.35">
      <c r="A27" s="135" t="s">
        <v>75</v>
      </c>
      <c r="B27" s="128"/>
      <c r="C27" s="129"/>
      <c r="D27" s="129"/>
      <c r="E27" s="129"/>
      <c r="F27" s="129"/>
      <c r="G27" s="129"/>
      <c r="H27" s="129"/>
      <c r="I27" s="129"/>
      <c r="J27" s="129"/>
      <c r="K27" s="129"/>
      <c r="L27" s="129"/>
      <c r="M27" s="129"/>
      <c r="N27" s="129"/>
      <c r="O27" s="129"/>
      <c r="P27" s="129"/>
      <c r="Q27" s="129"/>
      <c r="R27" s="129"/>
      <c r="S27" s="129"/>
      <c r="T27" s="129"/>
      <c r="U27" s="130"/>
      <c r="V27" s="130"/>
    </row>
    <row r="28" spans="1:26" s="131" customFormat="1" ht="22.5" customHeight="1" x14ac:dyDescent="0.35">
      <c r="A28" s="136" t="s">
        <v>168</v>
      </c>
      <c r="B28" s="118" t="s">
        <v>39</v>
      </c>
      <c r="C28" s="118"/>
      <c r="D28" s="118"/>
      <c r="E28" s="116"/>
      <c r="F28" s="150" t="s">
        <v>40</v>
      </c>
      <c r="G28" s="150" t="s">
        <v>40</v>
      </c>
      <c r="H28" s="165" t="s">
        <v>184</v>
      </c>
      <c r="I28" s="150"/>
      <c r="J28" s="150"/>
      <c r="K28" s="150"/>
      <c r="L28" s="150"/>
      <c r="M28" s="150"/>
      <c r="N28" s="150"/>
      <c r="O28" s="150"/>
      <c r="P28" s="150"/>
      <c r="Q28" s="150"/>
      <c r="R28" s="119"/>
      <c r="S28" s="119"/>
      <c r="T28" s="119"/>
      <c r="U28" s="119"/>
      <c r="V28" s="137"/>
    </row>
    <row r="29" spans="1:26" s="131" customFormat="1" ht="22.5" customHeight="1" x14ac:dyDescent="0.35">
      <c r="A29" s="136" t="s">
        <v>169</v>
      </c>
      <c r="B29" s="118" t="s">
        <v>39</v>
      </c>
      <c r="C29" s="118"/>
      <c r="D29" s="118"/>
      <c r="E29" s="116"/>
      <c r="F29" s="119"/>
      <c r="G29" s="150" t="s">
        <v>40</v>
      </c>
      <c r="H29" s="165" t="s">
        <v>184</v>
      </c>
      <c r="I29" s="150"/>
      <c r="J29" s="150"/>
      <c r="K29" s="150"/>
      <c r="L29" s="150"/>
      <c r="M29" s="150"/>
      <c r="N29" s="150"/>
      <c r="O29" s="150"/>
      <c r="P29" s="150"/>
      <c r="Q29" s="150"/>
      <c r="R29" s="119"/>
      <c r="S29" s="119"/>
      <c r="T29" s="119"/>
      <c r="U29" s="119"/>
      <c r="V29" s="137"/>
    </row>
    <row r="30" spans="1:26" s="131" customFormat="1" ht="22.5" customHeight="1" x14ac:dyDescent="0.35">
      <c r="A30" s="136" t="s">
        <v>170</v>
      </c>
      <c r="B30" s="118" t="s">
        <v>39</v>
      </c>
      <c r="C30" s="118"/>
      <c r="D30" s="118"/>
      <c r="E30" s="116"/>
      <c r="F30" s="119"/>
      <c r="G30" s="119"/>
      <c r="H30" s="165" t="s">
        <v>184</v>
      </c>
      <c r="I30" s="150"/>
      <c r="J30" s="150"/>
      <c r="K30" s="150"/>
      <c r="L30" s="150"/>
      <c r="M30" s="150"/>
      <c r="N30" s="150"/>
      <c r="O30" s="150"/>
      <c r="P30" s="150"/>
      <c r="Q30" s="150"/>
      <c r="R30" s="119"/>
      <c r="S30" s="119"/>
      <c r="T30" s="119"/>
      <c r="U30" s="119"/>
      <c r="V30" s="137"/>
    </row>
    <row r="31" spans="1:26" s="131" customFormat="1" ht="22.5" customHeight="1" x14ac:dyDescent="0.35">
      <c r="A31" s="136" t="s">
        <v>121</v>
      </c>
      <c r="B31" s="118" t="s">
        <v>39</v>
      </c>
      <c r="C31" s="118"/>
      <c r="D31" s="118"/>
      <c r="E31" s="116"/>
      <c r="F31" s="150" t="s">
        <v>40</v>
      </c>
      <c r="G31" s="150" t="s">
        <v>40</v>
      </c>
      <c r="H31" s="165" t="s">
        <v>184</v>
      </c>
      <c r="I31" s="150"/>
      <c r="J31" s="150"/>
      <c r="K31" s="150"/>
      <c r="L31" s="150"/>
      <c r="M31" s="150"/>
      <c r="N31" s="150"/>
      <c r="O31" s="150"/>
      <c r="P31" s="150"/>
      <c r="Q31" s="150"/>
      <c r="R31" s="119"/>
      <c r="S31" s="119"/>
      <c r="T31" s="119"/>
      <c r="U31" s="119"/>
      <c r="V31" s="137"/>
    </row>
    <row r="32" spans="1:26" s="131" customFormat="1" ht="22.5" customHeight="1" x14ac:dyDescent="0.35">
      <c r="A32" s="136" t="s">
        <v>123</v>
      </c>
      <c r="B32" s="118" t="s">
        <v>39</v>
      </c>
      <c r="C32" s="118"/>
      <c r="D32" s="118"/>
      <c r="E32" s="116"/>
      <c r="G32" s="150" t="s">
        <v>40</v>
      </c>
      <c r="H32" s="165" t="s">
        <v>184</v>
      </c>
      <c r="I32" s="150"/>
      <c r="J32" s="150"/>
      <c r="K32" s="150"/>
      <c r="L32" s="150"/>
      <c r="M32" s="150"/>
      <c r="N32" s="150"/>
      <c r="O32" s="150"/>
      <c r="P32" s="150"/>
      <c r="Q32" s="150"/>
      <c r="R32" s="119"/>
      <c r="S32" s="119"/>
      <c r="T32" s="119"/>
      <c r="U32" s="119"/>
      <c r="V32" s="137"/>
    </row>
    <row r="33" spans="1:22" s="131" customFormat="1" ht="22.5" customHeight="1" x14ac:dyDescent="0.35">
      <c r="A33" s="136" t="s">
        <v>122</v>
      </c>
      <c r="B33" s="118" t="s">
        <v>39</v>
      </c>
      <c r="C33" s="118"/>
      <c r="D33" s="118"/>
      <c r="E33" s="116"/>
      <c r="F33" s="119"/>
      <c r="G33" s="119"/>
      <c r="H33" s="165" t="s">
        <v>184</v>
      </c>
      <c r="I33" s="150"/>
      <c r="J33" s="150"/>
      <c r="K33" s="150"/>
      <c r="L33" s="150"/>
      <c r="M33" s="150"/>
      <c r="N33" s="150"/>
      <c r="O33" s="150"/>
      <c r="P33" s="150"/>
      <c r="Q33" s="150"/>
      <c r="R33" s="119"/>
      <c r="S33" s="119"/>
      <c r="T33" s="119"/>
      <c r="U33" s="119"/>
      <c r="V33" s="137"/>
    </row>
    <row r="34" spans="1:22" s="131" customFormat="1" ht="22.5" customHeight="1" x14ac:dyDescent="0.35">
      <c r="A34" s="136" t="s">
        <v>171</v>
      </c>
      <c r="B34" s="118" t="s">
        <v>39</v>
      </c>
      <c r="C34" s="118"/>
      <c r="D34" s="118"/>
      <c r="E34" s="116"/>
      <c r="F34" s="150" t="s">
        <v>40</v>
      </c>
      <c r="G34" s="150" t="s">
        <v>40</v>
      </c>
      <c r="H34" s="150" t="s">
        <v>40</v>
      </c>
      <c r="I34" s="150" t="s">
        <v>40</v>
      </c>
      <c r="J34" s="150" t="s">
        <v>40</v>
      </c>
      <c r="K34" s="150" t="s">
        <v>40</v>
      </c>
      <c r="L34" s="150" t="s">
        <v>40</v>
      </c>
      <c r="M34" s="150" t="s">
        <v>40</v>
      </c>
      <c r="N34" s="150" t="s">
        <v>40</v>
      </c>
      <c r="O34" s="150" t="s">
        <v>40</v>
      </c>
      <c r="P34" s="150" t="s">
        <v>40</v>
      </c>
      <c r="Q34" s="150" t="s">
        <v>40</v>
      </c>
      <c r="R34" s="119"/>
      <c r="S34" s="119"/>
      <c r="T34" s="119"/>
      <c r="U34" s="119"/>
      <c r="V34" s="137"/>
    </row>
    <row r="35" spans="1:22" s="131" customFormat="1" ht="22.5" customHeight="1" x14ac:dyDescent="0.35">
      <c r="A35" s="136" t="s">
        <v>172</v>
      </c>
      <c r="B35" s="118" t="s">
        <v>39</v>
      </c>
      <c r="C35" s="118"/>
      <c r="D35" s="118"/>
      <c r="E35" s="116"/>
      <c r="F35" s="119"/>
      <c r="G35" s="150" t="s">
        <v>40</v>
      </c>
      <c r="H35" s="150" t="s">
        <v>40</v>
      </c>
      <c r="I35" s="150" t="s">
        <v>40</v>
      </c>
      <c r="J35" s="150" t="s">
        <v>40</v>
      </c>
      <c r="K35" s="150" t="s">
        <v>40</v>
      </c>
      <c r="L35" s="150" t="s">
        <v>40</v>
      </c>
      <c r="M35" s="150" t="s">
        <v>40</v>
      </c>
      <c r="N35" s="150" t="s">
        <v>40</v>
      </c>
      <c r="O35" s="150" t="s">
        <v>40</v>
      </c>
      <c r="P35" s="150" t="s">
        <v>40</v>
      </c>
      <c r="Q35" s="150" t="s">
        <v>40</v>
      </c>
      <c r="R35" s="119"/>
      <c r="S35" s="119"/>
      <c r="T35" s="119"/>
      <c r="U35" s="119"/>
      <c r="V35" s="137"/>
    </row>
    <row r="36" spans="1:22" s="131" customFormat="1" ht="22.5" customHeight="1" x14ac:dyDescent="0.35">
      <c r="A36" s="136" t="s">
        <v>173</v>
      </c>
      <c r="B36" s="118" t="s">
        <v>39</v>
      </c>
      <c r="C36" s="118"/>
      <c r="D36" s="118"/>
      <c r="E36" s="116"/>
      <c r="F36" s="119"/>
      <c r="G36" s="119"/>
      <c r="H36" s="150" t="s">
        <v>40</v>
      </c>
      <c r="I36" s="150" t="s">
        <v>40</v>
      </c>
      <c r="J36" s="150" t="s">
        <v>40</v>
      </c>
      <c r="K36" s="150" t="s">
        <v>40</v>
      </c>
      <c r="L36" s="150" t="s">
        <v>40</v>
      </c>
      <c r="M36" s="150" t="s">
        <v>40</v>
      </c>
      <c r="N36" s="150" t="s">
        <v>40</v>
      </c>
      <c r="O36" s="150" t="s">
        <v>40</v>
      </c>
      <c r="P36" s="150" t="s">
        <v>40</v>
      </c>
      <c r="Q36" s="150" t="s">
        <v>40</v>
      </c>
      <c r="R36" s="119"/>
      <c r="S36" s="119"/>
      <c r="T36" s="119"/>
      <c r="U36" s="119"/>
      <c r="V36" s="137"/>
    </row>
    <row r="37" spans="1:22" s="131" customFormat="1" ht="25.5" customHeight="1" x14ac:dyDescent="0.35">
      <c r="A37" s="138" t="s">
        <v>166</v>
      </c>
      <c r="B37" s="118" t="s">
        <v>26</v>
      </c>
      <c r="C37" s="147"/>
      <c r="D37" s="118"/>
      <c r="E37" s="119"/>
      <c r="F37" s="139" t="s">
        <v>59</v>
      </c>
      <c r="G37" s="134"/>
      <c r="H37" s="139" t="s">
        <v>59</v>
      </c>
      <c r="I37" s="119"/>
      <c r="J37" s="139" t="s">
        <v>59</v>
      </c>
      <c r="K37" s="119"/>
      <c r="L37" s="139" t="s">
        <v>59</v>
      </c>
      <c r="M37" s="119"/>
      <c r="N37" s="139" t="s">
        <v>59</v>
      </c>
      <c r="O37" s="119"/>
      <c r="P37" s="139" t="s">
        <v>59</v>
      </c>
      <c r="Q37" s="119"/>
      <c r="R37" s="119"/>
      <c r="S37" s="119"/>
      <c r="T37" s="119"/>
      <c r="U37" s="119"/>
      <c r="V37" s="137"/>
    </row>
    <row r="38" spans="1:22" s="131" customFormat="1" ht="25.5" customHeight="1" x14ac:dyDescent="0.35">
      <c r="A38" s="133" t="s">
        <v>144</v>
      </c>
      <c r="B38" s="118" t="s">
        <v>26</v>
      </c>
      <c r="C38" s="119"/>
      <c r="D38" s="118"/>
      <c r="E38" s="119"/>
      <c r="F38" s="124" t="s">
        <v>57</v>
      </c>
      <c r="G38" s="134"/>
      <c r="H38" s="134"/>
      <c r="I38" s="124" t="s">
        <v>57</v>
      </c>
      <c r="J38" s="134"/>
      <c r="K38" s="119"/>
      <c r="L38" s="124" t="s">
        <v>57</v>
      </c>
      <c r="M38" s="119"/>
      <c r="N38" s="134"/>
      <c r="O38" s="124" t="s">
        <v>57</v>
      </c>
      <c r="P38" s="134"/>
      <c r="Q38" s="119"/>
      <c r="R38" s="119"/>
      <c r="S38" s="119"/>
      <c r="T38" s="119"/>
      <c r="U38" s="119"/>
      <c r="V38" s="137"/>
    </row>
    <row r="39" spans="1:22" s="131" customFormat="1" ht="25.5" customHeight="1" x14ac:dyDescent="0.35">
      <c r="A39" s="117" t="s">
        <v>6</v>
      </c>
      <c r="B39" s="119" t="s">
        <v>26</v>
      </c>
      <c r="C39" s="119" t="s">
        <v>40</v>
      </c>
      <c r="D39" s="119"/>
      <c r="E39" s="166" t="s">
        <v>206</v>
      </c>
      <c r="F39" s="125"/>
      <c r="G39" s="125"/>
      <c r="H39" s="125" t="s">
        <v>40</v>
      </c>
      <c r="I39" s="170" t="s">
        <v>40</v>
      </c>
      <c r="J39" s="170" t="s">
        <v>40</v>
      </c>
      <c r="K39" s="125"/>
      <c r="L39" s="125" t="s">
        <v>40</v>
      </c>
      <c r="M39" s="125"/>
      <c r="N39" s="125" t="s">
        <v>40</v>
      </c>
      <c r="O39" s="124" t="s">
        <v>40</v>
      </c>
      <c r="P39" s="171" t="s">
        <v>40</v>
      </c>
      <c r="Q39" s="125"/>
      <c r="R39" s="125" t="s">
        <v>40</v>
      </c>
      <c r="S39" s="125"/>
      <c r="T39" s="125"/>
      <c r="U39" s="125"/>
      <c r="V39" s="125"/>
    </row>
    <row r="40" spans="1:22" s="131" customFormat="1" ht="34.5" customHeight="1" x14ac:dyDescent="0.35">
      <c r="A40" s="117" t="s">
        <v>142</v>
      </c>
      <c r="B40" s="119" t="s">
        <v>26</v>
      </c>
      <c r="C40" s="119" t="s">
        <v>61</v>
      </c>
      <c r="D40" s="119" t="s">
        <v>40</v>
      </c>
      <c r="E40" s="140"/>
      <c r="F40" s="115"/>
      <c r="G40" s="116" t="s">
        <v>181</v>
      </c>
      <c r="H40" s="116" t="s">
        <v>209</v>
      </c>
      <c r="I40" s="116" t="s">
        <v>182</v>
      </c>
      <c r="J40" s="115" t="s">
        <v>40</v>
      </c>
      <c r="K40" s="119"/>
      <c r="L40" s="115" t="s">
        <v>40</v>
      </c>
      <c r="M40" s="125"/>
      <c r="N40" s="115" t="s">
        <v>40</v>
      </c>
      <c r="O40" s="167" t="s">
        <v>40</v>
      </c>
      <c r="P40" s="168" t="s">
        <v>40</v>
      </c>
      <c r="Q40" s="125"/>
      <c r="R40" s="115" t="s">
        <v>40</v>
      </c>
      <c r="S40" s="115"/>
      <c r="T40" s="125"/>
      <c r="U40" s="125"/>
      <c r="V40" s="125"/>
    </row>
    <row r="41" spans="1:22" s="131" customFormat="1" ht="25.5" customHeight="1" x14ac:dyDescent="0.35">
      <c r="A41" s="117" t="s">
        <v>143</v>
      </c>
      <c r="B41" s="119" t="s">
        <v>26</v>
      </c>
      <c r="C41" s="119"/>
      <c r="D41" s="119"/>
      <c r="E41" s="140" t="s">
        <v>40</v>
      </c>
      <c r="F41" s="125"/>
      <c r="G41" s="125"/>
      <c r="H41" s="125" t="s">
        <v>40</v>
      </c>
      <c r="I41" s="124" t="s">
        <v>40</v>
      </c>
      <c r="J41" s="171" t="s">
        <v>40</v>
      </c>
      <c r="K41" s="125"/>
      <c r="L41" s="125" t="s">
        <v>40</v>
      </c>
      <c r="M41" s="125"/>
      <c r="N41" s="125" t="s">
        <v>40</v>
      </c>
      <c r="O41" s="124" t="s">
        <v>40</v>
      </c>
      <c r="P41" s="169" t="s">
        <v>40</v>
      </c>
      <c r="Q41" s="125"/>
      <c r="R41" s="125" t="s">
        <v>40</v>
      </c>
      <c r="S41" s="125" t="s">
        <v>40</v>
      </c>
      <c r="T41" s="125"/>
      <c r="U41" s="125"/>
      <c r="V41" s="125"/>
    </row>
    <row r="42" spans="1:22" s="131" customFormat="1" ht="24.75" customHeight="1" x14ac:dyDescent="0.35">
      <c r="A42" s="181" t="s">
        <v>240</v>
      </c>
      <c r="B42" s="119" t="s">
        <v>26</v>
      </c>
      <c r="C42" s="119"/>
      <c r="D42" s="119"/>
      <c r="E42" s="119"/>
      <c r="F42" s="125"/>
      <c r="G42" s="125"/>
      <c r="H42" s="125"/>
      <c r="I42" s="125"/>
      <c r="J42" s="125"/>
      <c r="K42" s="125"/>
      <c r="L42" s="125"/>
      <c r="M42" s="125"/>
      <c r="N42" s="125"/>
      <c r="O42" s="125"/>
      <c r="P42" s="125"/>
      <c r="Q42" s="125"/>
      <c r="R42" s="164"/>
      <c r="S42" s="119" t="s">
        <v>278</v>
      </c>
      <c r="T42" s="191" t="s">
        <v>269</v>
      </c>
      <c r="U42" s="175" t="s">
        <v>269</v>
      </c>
      <c r="V42" s="191" t="s">
        <v>269</v>
      </c>
    </row>
    <row r="43" spans="1:22" s="126" customFormat="1" ht="19.5" customHeight="1" x14ac:dyDescent="0.4">
      <c r="A43" s="213" t="s">
        <v>218</v>
      </c>
      <c r="B43" s="213"/>
      <c r="C43" s="213"/>
      <c r="D43" s="213"/>
      <c r="E43" s="213"/>
      <c r="F43" s="213"/>
      <c r="G43" s="213"/>
      <c r="H43" s="213"/>
      <c r="I43" s="213"/>
      <c r="J43" s="213"/>
      <c r="K43" s="213"/>
      <c r="L43" s="213"/>
      <c r="M43" s="213"/>
      <c r="N43" s="213"/>
      <c r="O43" s="213"/>
      <c r="P43" s="213"/>
      <c r="Q43" s="213"/>
    </row>
    <row r="44" spans="1:22" s="126" customFormat="1" ht="20.25" customHeight="1" x14ac:dyDescent="0.4">
      <c r="A44" s="205" t="s">
        <v>207</v>
      </c>
      <c r="B44" s="205"/>
      <c r="C44" s="205"/>
      <c r="D44" s="205"/>
      <c r="E44" s="205"/>
      <c r="F44" s="205"/>
      <c r="G44" s="205"/>
      <c r="H44" s="205"/>
      <c r="I44" s="205"/>
      <c r="J44" s="205"/>
      <c r="K44" s="205"/>
      <c r="L44" s="205"/>
      <c r="M44" s="205"/>
      <c r="N44" s="205"/>
      <c r="O44" s="205"/>
      <c r="P44" s="205"/>
      <c r="Q44" s="205"/>
    </row>
    <row r="45" spans="1:22" s="126" customFormat="1" ht="18.75" customHeight="1" x14ac:dyDescent="0.4">
      <c r="A45" s="205" t="s">
        <v>285</v>
      </c>
      <c r="B45" s="205"/>
      <c r="C45" s="205"/>
      <c r="D45" s="205"/>
      <c r="E45" s="205"/>
      <c r="F45" s="205"/>
      <c r="G45" s="205"/>
      <c r="H45" s="205"/>
      <c r="I45" s="205"/>
      <c r="J45" s="205"/>
      <c r="K45" s="205"/>
      <c r="L45" s="205"/>
      <c r="M45" s="205"/>
      <c r="N45" s="205"/>
      <c r="O45" s="205"/>
      <c r="P45" s="205"/>
      <c r="Q45" s="205"/>
    </row>
    <row r="46" spans="1:22" s="131" customFormat="1" ht="21.75" customHeight="1" x14ac:dyDescent="0.35">
      <c r="A46" s="215" t="s">
        <v>270</v>
      </c>
      <c r="B46" s="215"/>
      <c r="C46" s="215"/>
      <c r="D46" s="215"/>
      <c r="E46" s="215"/>
      <c r="F46" s="215"/>
      <c r="G46" s="215"/>
      <c r="H46" s="215"/>
      <c r="I46" s="215"/>
      <c r="J46" s="215"/>
      <c r="K46" s="215"/>
      <c r="L46" s="215"/>
      <c r="M46" s="215"/>
      <c r="N46" s="215"/>
      <c r="O46" s="215"/>
      <c r="P46" s="215"/>
      <c r="Q46" s="215"/>
    </row>
    <row r="47" spans="1:22" s="131" customFormat="1" ht="20.25" customHeight="1" x14ac:dyDescent="0.35">
      <c r="A47" s="215" t="s">
        <v>268</v>
      </c>
      <c r="B47" s="215"/>
      <c r="C47" s="215"/>
      <c r="D47" s="215"/>
      <c r="E47" s="215"/>
      <c r="F47" s="215"/>
      <c r="G47" s="215"/>
      <c r="H47" s="215"/>
      <c r="I47" s="215"/>
      <c r="J47" s="215"/>
      <c r="K47" s="215"/>
      <c r="L47" s="215"/>
      <c r="M47" s="215"/>
      <c r="N47" s="215"/>
      <c r="O47" s="215"/>
      <c r="P47" s="215"/>
      <c r="Q47" s="215"/>
    </row>
    <row r="48" spans="1:22" ht="18.75" customHeight="1" x14ac:dyDescent="0.35">
      <c r="A48" s="198" t="s">
        <v>274</v>
      </c>
      <c r="B48" s="198"/>
      <c r="C48" s="198"/>
      <c r="D48" s="198"/>
      <c r="E48" s="198"/>
      <c r="F48" s="198"/>
      <c r="G48" s="198"/>
      <c r="H48" s="198"/>
      <c r="I48" s="198"/>
      <c r="J48" s="198"/>
      <c r="K48" s="198"/>
      <c r="L48" s="198"/>
      <c r="M48" s="198"/>
      <c r="N48" s="198"/>
      <c r="O48" s="198"/>
      <c r="P48" s="198"/>
      <c r="Q48" s="198"/>
    </row>
    <row r="49" spans="1:20" ht="19.5" customHeight="1" x14ac:dyDescent="0.35">
      <c r="A49" s="198"/>
      <c r="B49" s="198"/>
      <c r="C49" s="198"/>
      <c r="D49" s="198"/>
      <c r="E49" s="198"/>
      <c r="F49" s="198"/>
      <c r="G49" s="198"/>
      <c r="H49" s="198"/>
      <c r="I49" s="198"/>
      <c r="J49" s="198"/>
      <c r="K49" s="198"/>
      <c r="L49" s="198"/>
      <c r="M49" s="198"/>
      <c r="N49" s="198"/>
      <c r="O49" s="198"/>
      <c r="P49" s="198"/>
      <c r="Q49" s="198"/>
    </row>
    <row r="50" spans="1:20" ht="21.75" customHeight="1" x14ac:dyDescent="0.35">
      <c r="A50" s="22"/>
      <c r="B50" s="21"/>
      <c r="C50" s="21"/>
      <c r="D50" s="21"/>
      <c r="E50" s="21"/>
      <c r="F50" s="21"/>
      <c r="G50" s="16"/>
      <c r="H50" s="16"/>
    </row>
    <row r="51" spans="1:20" ht="19.5" customHeight="1" x14ac:dyDescent="0.35">
      <c r="A51" s="194"/>
      <c r="B51" s="15"/>
      <c r="C51" s="15"/>
      <c r="D51" s="15"/>
      <c r="E51" s="15"/>
      <c r="F51" s="15"/>
      <c r="G51" s="15"/>
      <c r="H51" s="15"/>
    </row>
    <row r="52" spans="1:20" ht="21.75" customHeight="1" x14ac:dyDescent="0.35">
      <c r="A52" s="31"/>
      <c r="B52" s="31"/>
      <c r="C52" s="31"/>
      <c r="D52" s="31"/>
      <c r="E52" s="31"/>
      <c r="F52" s="31"/>
      <c r="G52" s="31"/>
      <c r="H52" s="23"/>
    </row>
    <row r="53" spans="1:20" ht="21.75" customHeight="1" x14ac:dyDescent="0.35">
      <c r="A53" s="31"/>
      <c r="B53" s="31"/>
      <c r="C53" s="31"/>
      <c r="D53" s="31"/>
      <c r="E53" s="31"/>
      <c r="F53" s="192"/>
      <c r="G53" s="69"/>
      <c r="H53" s="23"/>
    </row>
    <row r="54" spans="1:20" ht="25.5" customHeight="1" x14ac:dyDescent="0.35">
      <c r="A54" s="30"/>
      <c r="B54" s="14"/>
      <c r="C54" s="38"/>
      <c r="D54" s="38"/>
      <c r="E54" s="14"/>
      <c r="F54" s="14"/>
      <c r="G54" s="14"/>
      <c r="H54" s="14"/>
    </row>
    <row r="55" spans="1:20" ht="15.75" customHeight="1" x14ac:dyDescent="0.35">
      <c r="A55" s="15"/>
      <c r="B55" s="15"/>
      <c r="C55" s="15"/>
      <c r="D55" s="15"/>
      <c r="E55" s="15"/>
      <c r="F55" s="15"/>
      <c r="G55" s="15"/>
      <c r="H55" s="16"/>
    </row>
    <row r="56" spans="1:20" ht="23.25" customHeight="1" x14ac:dyDescent="0.35">
      <c r="A56" s="15"/>
      <c r="B56" s="15"/>
      <c r="C56" s="15"/>
      <c r="D56" s="15"/>
      <c r="E56" s="15"/>
      <c r="F56" s="15"/>
      <c r="G56" s="15"/>
      <c r="H56" s="16"/>
    </row>
    <row r="57" spans="1:20" ht="21" customHeight="1" x14ac:dyDescent="0.35">
      <c r="A57" s="15"/>
      <c r="B57" s="16"/>
      <c r="C57" s="16"/>
      <c r="D57" s="16"/>
      <c r="E57" s="16"/>
      <c r="F57" s="16"/>
      <c r="G57" s="16"/>
      <c r="H57" s="16"/>
    </row>
    <row r="58" spans="1:20" ht="20.25" customHeight="1" x14ac:dyDescent="0.35">
      <c r="A58" s="15"/>
      <c r="B58" s="15"/>
      <c r="C58" s="15"/>
      <c r="D58" s="15"/>
      <c r="E58" s="15"/>
      <c r="F58" s="15"/>
      <c r="G58" s="15"/>
      <c r="H58" s="15"/>
    </row>
    <row r="59" spans="1:20" ht="20.25" customHeight="1" x14ac:dyDescent="0.35">
      <c r="A59" s="209"/>
      <c r="B59" s="209"/>
      <c r="C59" s="209"/>
      <c r="D59" s="209"/>
      <c r="E59" s="209"/>
      <c r="F59" s="209"/>
      <c r="G59" s="209"/>
      <c r="H59" s="209"/>
      <c r="I59" s="209"/>
      <c r="J59" s="209"/>
      <c r="K59" s="209"/>
      <c r="L59" s="209"/>
      <c r="M59" s="209"/>
      <c r="N59" s="209"/>
      <c r="O59" s="209"/>
      <c r="P59" s="209"/>
      <c r="Q59" s="209"/>
      <c r="R59" s="48"/>
      <c r="S59" s="157"/>
      <c r="T59" s="48"/>
    </row>
    <row r="60" spans="1:20" x14ac:dyDescent="0.35">
      <c r="A60" s="14"/>
    </row>
    <row r="61" spans="1:20" x14ac:dyDescent="0.35">
      <c r="A61" s="14"/>
    </row>
    <row r="62" spans="1:20" x14ac:dyDescent="0.35">
      <c r="A62" s="14"/>
    </row>
    <row r="63" spans="1:20" x14ac:dyDescent="0.35">
      <c r="A63" s="14"/>
    </row>
    <row r="64" spans="1:20" x14ac:dyDescent="0.35">
      <c r="A64" s="14"/>
    </row>
    <row r="65" spans="1:1" x14ac:dyDescent="0.35">
      <c r="A65" s="14"/>
    </row>
    <row r="66" spans="1:1" x14ac:dyDescent="0.35">
      <c r="A66" s="14"/>
    </row>
    <row r="67" spans="1:1" x14ac:dyDescent="0.35">
      <c r="A67" s="14"/>
    </row>
    <row r="68" spans="1:1" x14ac:dyDescent="0.35">
      <c r="A68" s="14"/>
    </row>
    <row r="69" spans="1:1" x14ac:dyDescent="0.35">
      <c r="A69" s="14"/>
    </row>
  </sheetData>
  <customSheetViews>
    <customSheetView guid="{E175C034-7BBF-422C-BD22-4ED71AA8C1DA}" scale="60" fitToPage="1" hiddenRows="1">
      <pane xSplit="2" ySplit="8" topLeftCell="C15" activePane="bottomRight" state="frozen"/>
      <selection pane="bottomRight" activeCell="A35" sqref="A35"/>
      <pageMargins left="0.70866141732283472" right="0.70866141732283472" top="0.74803149606299213" bottom="0.74803149606299213" header="0.31496062992125984" footer="0.31496062992125984"/>
      <pageSetup paperSize="8" scale="94" fitToHeight="0" orientation="landscape" r:id="rId1"/>
      <headerFooter alignWithMargins="0">
        <oddFooter>Side &amp;P&amp;RUV1-hTERT-MM-102 v1 02AUG16</oddFooter>
      </headerFooter>
    </customSheetView>
    <customSheetView guid="{E0FF57D7-F57B-4236-B386-D0AB0515A6B2}" scale="60" showPageBreaks="1" fitToPage="1" printArea="1" hiddenRows="1">
      <pane xSplit="2" ySplit="8" topLeftCell="C9" activePane="bottomRight" state="frozen"/>
      <selection pane="bottomRight" activeCell="W16" sqref="W16"/>
      <pageMargins left="0.70866141732283472" right="0.70866141732283472" top="0.74803149606299213" bottom="0.74803149606299213" header="0.31496062992125984" footer="0.31496062992125984"/>
      <pageSetup paperSize="8" scale="91" fitToHeight="0" orientation="landscape" r:id="rId2"/>
      <headerFooter alignWithMargins="0">
        <oddFooter>Side &amp;P&amp;RUV1-hTERT-MM-102 v1 02AUG16</oddFooter>
      </headerFooter>
    </customSheetView>
  </customSheetViews>
  <mergeCells count="23">
    <mergeCell ref="A59:Q59"/>
    <mergeCell ref="C3:E3"/>
    <mergeCell ref="C4:E4"/>
    <mergeCell ref="A2:B2"/>
    <mergeCell ref="A43:Q43"/>
    <mergeCell ref="A44:Q44"/>
    <mergeCell ref="F26:G26"/>
    <mergeCell ref="H26:I26"/>
    <mergeCell ref="J26:K26"/>
    <mergeCell ref="L26:M26"/>
    <mergeCell ref="N26:O26"/>
    <mergeCell ref="P26:Q26"/>
    <mergeCell ref="C2:E2"/>
    <mergeCell ref="A46:Q46"/>
    <mergeCell ref="A47:Q47"/>
    <mergeCell ref="A48:Q48"/>
    <mergeCell ref="A49:Q49"/>
    <mergeCell ref="T20:V20"/>
    <mergeCell ref="F2:R2"/>
    <mergeCell ref="T2:V2"/>
    <mergeCell ref="A45:Q45"/>
    <mergeCell ref="R26:S26"/>
    <mergeCell ref="J20:L20"/>
  </mergeCells>
  <pageMargins left="0.70866141732283472" right="0.70866141732283472" top="0.74803149606299213" bottom="0.74803149606299213" header="0.31496062992125984" footer="0.31496062992125984"/>
  <pageSetup paperSize="8" scale="91" fitToHeight="0" orientation="landscape" r:id="rId3"/>
  <headerFooter alignWithMargins="0">
    <oddFooter>Side &amp;P&amp;RUV1-hTERT-MM-102 v1 02AUG16</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A1:EC67"/>
  <sheetViews>
    <sheetView zoomScale="60" zoomScaleNormal="60" workbookViewId="0">
      <pane xSplit="2" ySplit="8" topLeftCell="C9" activePane="bottomRight" state="frozen"/>
      <selection pane="topRight" activeCell="C1" sqref="C1"/>
      <selection pane="bottomLeft" activeCell="A9" sqref="A9"/>
      <selection pane="bottomRight" activeCell="W44" sqref="W44"/>
    </sheetView>
  </sheetViews>
  <sheetFormatPr baseColWidth="10" defaultColWidth="18.42578125" defaultRowHeight="27" x14ac:dyDescent="0.35"/>
  <cols>
    <col min="1" max="1" width="64.7109375" style="1" customWidth="1"/>
    <col min="2" max="2" width="1.7109375" style="1" hidden="1" customWidth="1"/>
    <col min="3" max="4" width="16.5703125" style="1" customWidth="1"/>
    <col min="5" max="5" width="17.42578125" style="1" customWidth="1"/>
    <col min="6" max="6" width="12.28515625" style="1" customWidth="1"/>
    <col min="7" max="8" width="15.42578125" style="1" customWidth="1"/>
    <col min="9" max="9" width="13.85546875" style="1" customWidth="1"/>
    <col min="10" max="10" width="14" style="1" customWidth="1"/>
    <col min="11" max="12" width="15.140625" style="1" customWidth="1"/>
    <col min="13" max="13" width="14" style="1" customWidth="1"/>
    <col min="14" max="14" width="14.28515625" style="1" customWidth="1"/>
    <col min="15" max="15" width="16.28515625" style="1" customWidth="1"/>
    <col min="16" max="16" width="15.42578125" style="1" customWidth="1"/>
    <col min="17" max="17" width="15.140625" style="1" customWidth="1"/>
    <col min="18" max="18" width="16.28515625" style="1" customWidth="1"/>
    <col min="19" max="19" width="16" style="1" customWidth="1"/>
    <col min="20" max="20" width="14.5703125" style="1" customWidth="1"/>
    <col min="21" max="21" width="16.28515625" style="1" customWidth="1"/>
    <col min="22" max="22" width="14.7109375" style="1" customWidth="1"/>
    <col min="23" max="24" width="18.85546875" style="1" customWidth="1"/>
    <col min="25" max="25" width="18" style="1" customWidth="1"/>
    <col min="26" max="26" width="14.7109375" style="1" customWidth="1"/>
    <col min="27" max="27" width="15" style="1" customWidth="1"/>
    <col min="28" max="28" width="31.7109375" style="1" customWidth="1"/>
    <col min="29" max="16384" width="18.42578125" style="1"/>
  </cols>
  <sheetData>
    <row r="1" spans="1:133" s="6" customFormat="1" ht="117.75" customHeight="1" x14ac:dyDescent="0.75">
      <c r="A1" s="76" t="s">
        <v>188</v>
      </c>
      <c r="B1" s="54"/>
      <c r="C1" s="54" t="s">
        <v>5</v>
      </c>
      <c r="D1" s="54"/>
      <c r="E1" s="54"/>
      <c r="F1" s="54"/>
      <c r="G1" s="56"/>
      <c r="H1" s="56"/>
      <c r="I1" s="56"/>
      <c r="J1" s="56"/>
      <c r="K1" s="56"/>
      <c r="L1" s="56"/>
      <c r="M1" s="56"/>
      <c r="N1" s="56"/>
      <c r="O1" s="56"/>
      <c r="P1" s="56"/>
      <c r="Q1" s="56"/>
      <c r="R1" s="56"/>
      <c r="S1" s="56"/>
      <c r="T1" s="56"/>
      <c r="U1" s="56"/>
      <c r="V1" s="56"/>
      <c r="W1" s="56"/>
      <c r="X1" s="56"/>
      <c r="Y1" s="56"/>
      <c r="Z1" s="57"/>
      <c r="AA1" s="57"/>
      <c r="AB1" s="24"/>
    </row>
    <row r="2" spans="1:133" ht="32.25" customHeight="1" x14ac:dyDescent="0.35">
      <c r="A2" s="226" t="s">
        <v>258</v>
      </c>
      <c r="B2" s="227"/>
      <c r="C2" s="223"/>
      <c r="D2" s="224"/>
      <c r="E2" s="225"/>
      <c r="F2" s="223" t="s">
        <v>4</v>
      </c>
      <c r="G2" s="224"/>
      <c r="H2" s="224"/>
      <c r="I2" s="224"/>
      <c r="J2" s="224"/>
      <c r="K2" s="224"/>
      <c r="L2" s="224"/>
      <c r="M2" s="224"/>
      <c r="N2" s="224"/>
      <c r="O2" s="224"/>
      <c r="P2" s="224"/>
      <c r="Q2" s="224"/>
      <c r="R2" s="224"/>
      <c r="S2" s="224"/>
      <c r="T2" s="224"/>
      <c r="U2" s="224"/>
      <c r="V2" s="224"/>
      <c r="W2" s="224"/>
      <c r="X2" s="222" t="s">
        <v>97</v>
      </c>
      <c r="Y2" s="222"/>
      <c r="Z2" s="222"/>
      <c r="AA2" s="222"/>
      <c r="AB2" s="7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row>
    <row r="3" spans="1:133" ht="57" customHeight="1" x14ac:dyDescent="0.35">
      <c r="A3" s="74" t="s">
        <v>58</v>
      </c>
      <c r="B3" s="73"/>
      <c r="C3" s="222" t="s">
        <v>257</v>
      </c>
      <c r="D3" s="222"/>
      <c r="E3" s="222"/>
      <c r="F3" s="75" t="s">
        <v>10</v>
      </c>
      <c r="G3" s="75" t="s">
        <v>11</v>
      </c>
      <c r="H3" s="75" t="s">
        <v>14</v>
      </c>
      <c r="I3" s="75" t="s">
        <v>15</v>
      </c>
      <c r="J3" s="75" t="s">
        <v>16</v>
      </c>
      <c r="K3" s="75" t="s">
        <v>12</v>
      </c>
      <c r="L3" s="75" t="s">
        <v>17</v>
      </c>
      <c r="M3" s="75" t="s">
        <v>18</v>
      </c>
      <c r="N3" s="75" t="s">
        <v>13</v>
      </c>
      <c r="O3" s="75" t="s">
        <v>27</v>
      </c>
      <c r="P3" s="75" t="s">
        <v>28</v>
      </c>
      <c r="Q3" s="75" t="s">
        <v>29</v>
      </c>
      <c r="R3" s="75" t="s">
        <v>41</v>
      </c>
      <c r="S3" s="75" t="s">
        <v>46</v>
      </c>
      <c r="T3" s="75" t="s">
        <v>47</v>
      </c>
      <c r="U3" s="75" t="s">
        <v>48</v>
      </c>
      <c r="V3" s="75" t="s">
        <v>49</v>
      </c>
      <c r="W3" s="75" t="s">
        <v>50</v>
      </c>
      <c r="X3" s="173" t="s">
        <v>272</v>
      </c>
      <c r="Y3" s="173" t="s">
        <v>220</v>
      </c>
      <c r="Z3" s="173" t="s">
        <v>265</v>
      </c>
      <c r="AA3" s="173" t="s">
        <v>266</v>
      </c>
      <c r="AB3" s="66"/>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row>
    <row r="4" spans="1:133" ht="27" customHeight="1" x14ac:dyDescent="0.35">
      <c r="A4" s="74" t="s">
        <v>7</v>
      </c>
      <c r="B4" s="73"/>
      <c r="C4" s="228"/>
      <c r="D4" s="228"/>
      <c r="E4" s="228"/>
      <c r="F4" s="73">
        <v>1</v>
      </c>
      <c r="G4" s="73">
        <v>3</v>
      </c>
      <c r="H4" s="73">
        <v>5</v>
      </c>
      <c r="I4" s="73">
        <v>7</v>
      </c>
      <c r="J4" s="73">
        <v>9</v>
      </c>
      <c r="K4" s="73">
        <v>11</v>
      </c>
      <c r="L4" s="73">
        <v>13</v>
      </c>
      <c r="M4" s="73">
        <v>15</v>
      </c>
      <c r="N4" s="73">
        <v>17</v>
      </c>
      <c r="O4" s="73">
        <v>19</v>
      </c>
      <c r="P4" s="73">
        <v>21</v>
      </c>
      <c r="Q4" s="73">
        <v>23</v>
      </c>
      <c r="R4" s="73">
        <v>25</v>
      </c>
      <c r="S4" s="73">
        <v>27</v>
      </c>
      <c r="T4" s="73">
        <v>29</v>
      </c>
      <c r="U4" s="73">
        <v>31</v>
      </c>
      <c r="V4" s="73">
        <v>33</v>
      </c>
      <c r="W4" s="73">
        <v>35</v>
      </c>
      <c r="X4" s="172">
        <v>37</v>
      </c>
      <c r="Y4" s="172" t="s">
        <v>221</v>
      </c>
      <c r="Z4" s="172" t="s">
        <v>246</v>
      </c>
      <c r="AA4" s="172" t="s">
        <v>245</v>
      </c>
      <c r="AB4" s="67"/>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row>
    <row r="5" spans="1:133" ht="81" x14ac:dyDescent="0.35">
      <c r="A5" s="51" t="s">
        <v>54</v>
      </c>
      <c r="B5" s="28"/>
      <c r="C5" s="29" t="s">
        <v>60</v>
      </c>
      <c r="D5" s="182" t="s">
        <v>180</v>
      </c>
      <c r="E5" s="29" t="s">
        <v>204</v>
      </c>
      <c r="F5" s="29" t="s">
        <v>3</v>
      </c>
      <c r="G5" s="159" t="s">
        <v>219</v>
      </c>
      <c r="H5" s="159" t="s">
        <v>212</v>
      </c>
      <c r="I5" s="159" t="s">
        <v>213</v>
      </c>
      <c r="J5" s="159" t="s">
        <v>190</v>
      </c>
      <c r="K5" s="159" t="s">
        <v>191</v>
      </c>
      <c r="L5" s="159" t="s">
        <v>192</v>
      </c>
      <c r="M5" s="159" t="s">
        <v>193</v>
      </c>
      <c r="N5" s="159" t="s">
        <v>194</v>
      </c>
      <c r="O5" s="159" t="s">
        <v>195</v>
      </c>
      <c r="P5" s="159" t="s">
        <v>196</v>
      </c>
      <c r="Q5" s="159" t="s">
        <v>197</v>
      </c>
      <c r="R5" s="159" t="s">
        <v>198</v>
      </c>
      <c r="S5" s="159" t="s">
        <v>199</v>
      </c>
      <c r="T5" s="159" t="s">
        <v>200</v>
      </c>
      <c r="U5" s="159" t="s">
        <v>201</v>
      </c>
      <c r="V5" s="159" t="s">
        <v>202</v>
      </c>
      <c r="W5" s="159" t="s">
        <v>203</v>
      </c>
      <c r="X5" s="159" t="s">
        <v>280</v>
      </c>
      <c r="Y5" s="159" t="s">
        <v>279</v>
      </c>
      <c r="Z5" s="159" t="s">
        <v>264</v>
      </c>
      <c r="AA5" s="159" t="s">
        <v>281</v>
      </c>
      <c r="AB5" s="68"/>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row>
    <row r="6" spans="1:133" s="5" customFormat="1" ht="24" customHeight="1" x14ac:dyDescent="0.2">
      <c r="A6" s="52" t="s">
        <v>8</v>
      </c>
      <c r="B6" s="12"/>
      <c r="C6" s="12"/>
      <c r="D6" s="12"/>
      <c r="E6" s="12"/>
      <c r="F6" s="34"/>
      <c r="G6" s="35">
        <f>(F6+14)</f>
        <v>14</v>
      </c>
      <c r="H6" s="35">
        <f>(G6+14)</f>
        <v>28</v>
      </c>
      <c r="I6" s="35">
        <f t="shared" ref="I6:X6" si="0">(H6+14)</f>
        <v>42</v>
      </c>
      <c r="J6" s="35">
        <f t="shared" si="0"/>
        <v>56</v>
      </c>
      <c r="K6" s="35">
        <f t="shared" si="0"/>
        <v>70</v>
      </c>
      <c r="L6" s="35">
        <f t="shared" si="0"/>
        <v>84</v>
      </c>
      <c r="M6" s="35">
        <f t="shared" si="0"/>
        <v>98</v>
      </c>
      <c r="N6" s="35">
        <f t="shared" si="0"/>
        <v>112</v>
      </c>
      <c r="O6" s="35">
        <f t="shared" si="0"/>
        <v>126</v>
      </c>
      <c r="P6" s="35">
        <f t="shared" si="0"/>
        <v>140</v>
      </c>
      <c r="Q6" s="35">
        <f t="shared" si="0"/>
        <v>154</v>
      </c>
      <c r="R6" s="35">
        <f t="shared" si="0"/>
        <v>168</v>
      </c>
      <c r="S6" s="35">
        <f t="shared" si="0"/>
        <v>182</v>
      </c>
      <c r="T6" s="35">
        <f t="shared" si="0"/>
        <v>196</v>
      </c>
      <c r="U6" s="35">
        <f t="shared" si="0"/>
        <v>210</v>
      </c>
      <c r="V6" s="35">
        <f t="shared" si="0"/>
        <v>224</v>
      </c>
      <c r="W6" s="35">
        <f t="shared" si="0"/>
        <v>238</v>
      </c>
      <c r="X6" s="35">
        <f t="shared" si="0"/>
        <v>252</v>
      </c>
      <c r="Y6" s="35"/>
      <c r="Z6" s="35">
        <f>(F6+359)</f>
        <v>359</v>
      </c>
      <c r="AA6" s="35">
        <f>(F6+719)</f>
        <v>719</v>
      </c>
      <c r="AB6" s="69"/>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8"/>
      <c r="DN6" s="18"/>
      <c r="DO6" s="18"/>
      <c r="DP6" s="18"/>
      <c r="DQ6" s="18"/>
      <c r="DR6" s="18"/>
      <c r="DS6" s="18"/>
      <c r="DT6" s="18"/>
      <c r="DU6" s="18"/>
      <c r="DV6" s="18"/>
      <c r="DW6" s="18"/>
      <c r="DX6" s="18"/>
      <c r="DY6" s="18"/>
      <c r="DZ6" s="18"/>
      <c r="EA6" s="18"/>
      <c r="EB6" s="18"/>
      <c r="EC6" s="18"/>
    </row>
    <row r="7" spans="1:133" s="3" customFormat="1" ht="30.75" customHeight="1" x14ac:dyDescent="0.2">
      <c r="A7" s="53" t="s">
        <v>9</v>
      </c>
      <c r="B7" s="12"/>
      <c r="C7" s="58"/>
      <c r="D7" s="58"/>
      <c r="E7" s="58"/>
      <c r="F7" s="58"/>
      <c r="G7" s="59"/>
      <c r="H7" s="59"/>
      <c r="I7" s="59"/>
      <c r="J7" s="59"/>
      <c r="K7" s="59"/>
      <c r="L7" s="59"/>
      <c r="M7" s="59"/>
      <c r="N7" s="59"/>
      <c r="O7" s="59"/>
      <c r="P7" s="59"/>
      <c r="Q7" s="59"/>
      <c r="R7" s="59"/>
      <c r="S7" s="59"/>
      <c r="T7" s="59"/>
      <c r="U7" s="59"/>
      <c r="V7" s="59"/>
      <c r="W7" s="59"/>
      <c r="X7" s="59"/>
      <c r="Y7" s="59"/>
      <c r="Z7" s="59"/>
      <c r="AA7" s="59"/>
      <c r="AB7" s="6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20"/>
      <c r="DN7" s="20"/>
      <c r="DO7" s="20"/>
      <c r="DP7" s="20"/>
      <c r="DQ7" s="20"/>
      <c r="DR7" s="20"/>
      <c r="DS7" s="20"/>
      <c r="DT7" s="20"/>
      <c r="DU7" s="20"/>
      <c r="DV7" s="20"/>
      <c r="DW7" s="20"/>
      <c r="DX7" s="20"/>
      <c r="DY7" s="20"/>
      <c r="DZ7" s="20"/>
      <c r="EA7" s="20"/>
      <c r="EB7" s="20"/>
      <c r="EC7" s="20"/>
    </row>
    <row r="8" spans="1:133" s="3" customFormat="1" ht="18.75" customHeight="1" x14ac:dyDescent="0.2">
      <c r="A8" s="39" t="s">
        <v>77</v>
      </c>
      <c r="B8" s="37" t="s">
        <v>137</v>
      </c>
      <c r="C8" s="37"/>
      <c r="D8" s="37"/>
      <c r="E8" s="60"/>
      <c r="F8" s="9"/>
      <c r="G8" s="13"/>
      <c r="H8" s="13"/>
      <c r="I8" s="13"/>
      <c r="J8" s="13"/>
      <c r="K8" s="13"/>
      <c r="L8" s="13"/>
      <c r="M8" s="13"/>
      <c r="N8" s="13"/>
      <c r="O8" s="13"/>
      <c r="P8" s="13"/>
      <c r="Q8" s="13"/>
      <c r="R8" s="13"/>
      <c r="S8" s="13"/>
      <c r="T8" s="13"/>
      <c r="U8" s="13"/>
      <c r="V8" s="13"/>
      <c r="W8" s="13"/>
      <c r="X8" s="13"/>
      <c r="Y8" s="13"/>
      <c r="Z8" s="13"/>
      <c r="AA8" s="13"/>
      <c r="AB8" s="6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20"/>
      <c r="DN8" s="20"/>
      <c r="DO8" s="20"/>
      <c r="DP8" s="20"/>
      <c r="DQ8" s="20"/>
      <c r="DR8" s="20"/>
      <c r="DS8" s="20"/>
      <c r="DT8" s="20"/>
      <c r="DU8" s="20"/>
      <c r="DV8" s="20"/>
      <c r="DW8" s="20"/>
      <c r="DX8" s="20"/>
      <c r="DY8" s="20"/>
      <c r="DZ8" s="20"/>
      <c r="EA8" s="20"/>
      <c r="EB8" s="20"/>
      <c r="EC8" s="20"/>
    </row>
    <row r="9" spans="1:133" s="3" customFormat="1" ht="22.5" customHeight="1" x14ac:dyDescent="0.2">
      <c r="A9" s="25" t="s">
        <v>43</v>
      </c>
      <c r="B9" s="8" t="s">
        <v>26</v>
      </c>
      <c r="C9" s="8" t="s">
        <v>40</v>
      </c>
      <c r="D9" s="8"/>
      <c r="E9" s="10"/>
      <c r="F9" s="7"/>
      <c r="G9" s="46"/>
      <c r="H9" s="46"/>
      <c r="I9" s="46"/>
      <c r="J9" s="46"/>
      <c r="K9" s="46"/>
      <c r="L9" s="46"/>
      <c r="M9" s="46"/>
      <c r="N9" s="46"/>
      <c r="O9" s="46"/>
      <c r="P9" s="46"/>
      <c r="Q9" s="46"/>
      <c r="R9" s="46"/>
      <c r="S9" s="46"/>
      <c r="T9" s="46"/>
      <c r="U9" s="46"/>
      <c r="V9" s="46"/>
      <c r="W9" s="46"/>
      <c r="X9" s="46"/>
      <c r="Y9" s="46"/>
      <c r="Z9" s="46"/>
      <c r="AA9" s="46"/>
      <c r="AB9" s="6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20"/>
      <c r="DN9" s="20"/>
      <c r="DO9" s="20"/>
      <c r="DP9" s="20"/>
      <c r="DQ9" s="20"/>
      <c r="DR9" s="20"/>
      <c r="DS9" s="20"/>
      <c r="DT9" s="20"/>
      <c r="DU9" s="20"/>
      <c r="DV9" s="20"/>
      <c r="DW9" s="20"/>
      <c r="DX9" s="20"/>
      <c r="DY9" s="20"/>
      <c r="DZ9" s="20"/>
      <c r="EA9" s="20"/>
      <c r="EB9" s="20"/>
      <c r="EC9" s="20"/>
    </row>
    <row r="10" spans="1:133" s="3" customFormat="1" ht="22.5" customHeight="1" x14ac:dyDescent="0.2">
      <c r="A10" s="25" t="s">
        <v>44</v>
      </c>
      <c r="B10" s="8" t="s">
        <v>26</v>
      </c>
      <c r="C10" s="8" t="s">
        <v>40</v>
      </c>
      <c r="D10" s="8"/>
      <c r="E10" s="175" t="s">
        <v>206</v>
      </c>
      <c r="F10" s="7"/>
      <c r="G10" s="46"/>
      <c r="H10" s="46"/>
      <c r="I10" s="46"/>
      <c r="J10" s="46"/>
      <c r="K10" s="46"/>
      <c r="L10" s="46"/>
      <c r="M10" s="46"/>
      <c r="N10" s="46"/>
      <c r="O10" s="46"/>
      <c r="P10" s="46"/>
      <c r="Q10" s="46"/>
      <c r="R10" s="46"/>
      <c r="S10" s="46"/>
      <c r="T10" s="46"/>
      <c r="U10" s="46"/>
      <c r="V10" s="46"/>
      <c r="W10" s="46"/>
      <c r="X10" s="46"/>
      <c r="Y10" s="46"/>
      <c r="Z10" s="46"/>
      <c r="AA10" s="46"/>
      <c r="AB10" s="6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20"/>
      <c r="DN10" s="20"/>
      <c r="DO10" s="20"/>
      <c r="DP10" s="20"/>
      <c r="DQ10" s="20"/>
      <c r="DR10" s="20"/>
      <c r="DS10" s="20"/>
      <c r="DT10" s="20"/>
      <c r="DU10" s="20"/>
      <c r="DV10" s="20"/>
      <c r="DW10" s="20"/>
      <c r="DX10" s="20"/>
      <c r="DY10" s="20"/>
      <c r="DZ10" s="20"/>
      <c r="EA10" s="20"/>
      <c r="EB10" s="20"/>
      <c r="EC10" s="20"/>
    </row>
    <row r="11" spans="1:133" s="3" customFormat="1" ht="34.5" customHeight="1" x14ac:dyDescent="0.2">
      <c r="A11" s="25" t="s">
        <v>45</v>
      </c>
      <c r="B11" s="8" t="s">
        <v>26</v>
      </c>
      <c r="C11" s="8"/>
      <c r="D11" s="8" t="s">
        <v>40</v>
      </c>
      <c r="E11" s="7" t="s">
        <v>61</v>
      </c>
      <c r="F11" s="7"/>
      <c r="G11" s="46"/>
      <c r="H11" s="10"/>
      <c r="I11" s="179" t="s">
        <v>185</v>
      </c>
      <c r="J11" s="46"/>
      <c r="K11" s="46"/>
      <c r="L11" s="46"/>
      <c r="M11" s="46"/>
      <c r="N11" s="46"/>
      <c r="O11" s="46"/>
      <c r="P11" s="46"/>
      <c r="Q11" s="46"/>
      <c r="R11" s="46"/>
      <c r="S11" s="46"/>
      <c r="T11" s="46"/>
      <c r="U11" s="46"/>
      <c r="V11" s="46"/>
      <c r="W11" s="46"/>
      <c r="X11" s="46"/>
      <c r="Y11" s="46"/>
      <c r="Z11" s="46"/>
      <c r="AA11" s="46"/>
      <c r="AB11" s="6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20"/>
      <c r="DN11" s="20"/>
      <c r="DO11" s="20"/>
      <c r="DP11" s="20"/>
      <c r="DQ11" s="20"/>
      <c r="DR11" s="20"/>
      <c r="DS11" s="20"/>
      <c r="DT11" s="20"/>
      <c r="DU11" s="20"/>
      <c r="DV11" s="20"/>
      <c r="DW11" s="20"/>
      <c r="DX11" s="20"/>
      <c r="DY11" s="20"/>
      <c r="DZ11" s="20"/>
      <c r="EA11" s="20"/>
      <c r="EB11" s="20"/>
      <c r="EC11" s="20"/>
    </row>
    <row r="12" spans="1:133" s="3" customFormat="1" ht="22.5" customHeight="1" x14ac:dyDescent="0.2">
      <c r="A12" s="25" t="s">
        <v>53</v>
      </c>
      <c r="B12" s="8" t="s">
        <v>26</v>
      </c>
      <c r="C12" s="8" t="s">
        <v>40</v>
      </c>
      <c r="D12" s="8"/>
      <c r="E12" s="10"/>
      <c r="F12" s="7"/>
      <c r="G12" s="46"/>
      <c r="H12" s="46"/>
      <c r="I12" s="46"/>
      <c r="J12" s="46"/>
      <c r="K12" s="46"/>
      <c r="L12" s="46"/>
      <c r="M12" s="46"/>
      <c r="N12" s="46"/>
      <c r="O12" s="46"/>
      <c r="P12" s="46"/>
      <c r="Q12" s="46"/>
      <c r="R12" s="46"/>
      <c r="S12" s="46"/>
      <c r="T12" s="46"/>
      <c r="U12" s="46"/>
      <c r="V12" s="46"/>
      <c r="W12" s="46"/>
      <c r="X12" s="46"/>
      <c r="Y12" s="46"/>
      <c r="Z12" s="46"/>
      <c r="AA12" s="46"/>
      <c r="AB12" s="6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20"/>
      <c r="DN12" s="20"/>
      <c r="DO12" s="20"/>
      <c r="DP12" s="20"/>
      <c r="DQ12" s="20"/>
      <c r="DR12" s="20"/>
      <c r="DS12" s="20"/>
      <c r="DT12" s="20"/>
      <c r="DU12" s="20"/>
      <c r="DV12" s="20"/>
      <c r="DW12" s="20"/>
      <c r="DX12" s="20"/>
      <c r="DY12" s="20"/>
      <c r="DZ12" s="20"/>
      <c r="EA12" s="20"/>
      <c r="EB12" s="20"/>
      <c r="EC12" s="20"/>
    </row>
    <row r="13" spans="1:133" s="3" customFormat="1" ht="24" customHeight="1" x14ac:dyDescent="0.2">
      <c r="A13" s="25" t="s">
        <v>187</v>
      </c>
      <c r="B13" s="8" t="s">
        <v>26</v>
      </c>
      <c r="C13" s="8" t="s">
        <v>40</v>
      </c>
      <c r="D13" s="8"/>
      <c r="E13" s="175" t="s">
        <v>206</v>
      </c>
      <c r="F13" s="7"/>
      <c r="G13" s="46"/>
      <c r="H13" s="46"/>
      <c r="I13" s="46" t="s">
        <v>40</v>
      </c>
      <c r="J13" s="46"/>
      <c r="K13" s="46"/>
      <c r="L13" s="46"/>
      <c r="M13" s="46"/>
      <c r="N13" s="46"/>
      <c r="O13" s="46"/>
      <c r="P13" s="46"/>
      <c r="Q13" s="46" t="s">
        <v>40</v>
      </c>
      <c r="R13" s="46"/>
      <c r="S13" s="46"/>
      <c r="T13" s="46"/>
      <c r="U13" s="46"/>
      <c r="V13" s="46"/>
      <c r="W13" s="46" t="s">
        <v>40</v>
      </c>
      <c r="X13" s="46"/>
      <c r="Y13" s="46"/>
      <c r="Z13" s="46"/>
      <c r="AA13" s="46"/>
      <c r="AB13" s="6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20"/>
      <c r="DN13" s="20"/>
      <c r="DO13" s="20"/>
      <c r="DP13" s="20"/>
      <c r="DQ13" s="20"/>
      <c r="DR13" s="20"/>
      <c r="DS13" s="20"/>
      <c r="DT13" s="20"/>
      <c r="DU13" s="20"/>
      <c r="DV13" s="20"/>
      <c r="DW13" s="20"/>
      <c r="DX13" s="20"/>
      <c r="DY13" s="20"/>
      <c r="DZ13" s="20"/>
      <c r="EA13" s="20"/>
      <c r="EB13" s="20"/>
      <c r="EC13" s="20"/>
    </row>
    <row r="14" spans="1:133" s="4" customFormat="1" ht="36" customHeight="1" x14ac:dyDescent="0.4">
      <c r="A14" s="25" t="s">
        <v>157</v>
      </c>
      <c r="B14" s="8" t="s">
        <v>26</v>
      </c>
      <c r="C14" s="8" t="s">
        <v>40</v>
      </c>
      <c r="D14" s="8"/>
      <c r="E14" s="175" t="s">
        <v>206</v>
      </c>
      <c r="F14" s="7"/>
      <c r="G14" s="10" t="s">
        <v>181</v>
      </c>
      <c r="H14" s="10"/>
      <c r="I14" s="10" t="s">
        <v>182</v>
      </c>
      <c r="J14" s="10"/>
      <c r="K14" s="141" t="s">
        <v>40</v>
      </c>
      <c r="L14" s="10"/>
      <c r="M14" s="7"/>
      <c r="N14" s="7"/>
      <c r="O14" s="7"/>
      <c r="P14" s="7"/>
      <c r="Q14" s="7" t="s">
        <v>40</v>
      </c>
      <c r="R14" s="148"/>
      <c r="S14" s="148"/>
      <c r="T14" s="7"/>
      <c r="U14" s="7"/>
      <c r="V14" s="10"/>
      <c r="W14" s="46" t="s">
        <v>40</v>
      </c>
      <c r="X14" s="141"/>
      <c r="Y14" s="10"/>
      <c r="Z14" s="10"/>
      <c r="AA14" s="11"/>
      <c r="AB14" s="70"/>
    </row>
    <row r="15" spans="1:133" s="3" customFormat="1" ht="30.75" customHeight="1" x14ac:dyDescent="0.2">
      <c r="A15" s="25" t="s">
        <v>222</v>
      </c>
      <c r="B15" s="8" t="s">
        <v>26</v>
      </c>
      <c r="C15" s="8" t="s">
        <v>40</v>
      </c>
      <c r="D15" s="8"/>
      <c r="E15" s="175" t="s">
        <v>206</v>
      </c>
      <c r="F15" s="46"/>
      <c r="G15" s="46" t="s">
        <v>40</v>
      </c>
      <c r="H15" s="46" t="s">
        <v>40</v>
      </c>
      <c r="I15" s="46" t="s">
        <v>40</v>
      </c>
      <c r="J15" s="46"/>
      <c r="K15" s="46" t="s">
        <v>40</v>
      </c>
      <c r="L15" s="46"/>
      <c r="M15" s="46" t="s">
        <v>40</v>
      </c>
      <c r="N15" s="46"/>
      <c r="O15" s="46" t="s">
        <v>40</v>
      </c>
      <c r="P15" s="46"/>
      <c r="Q15" s="46" t="s">
        <v>40</v>
      </c>
      <c r="R15" s="46"/>
      <c r="S15" s="46" t="s">
        <v>66</v>
      </c>
      <c r="T15" s="46"/>
      <c r="U15" s="46" t="s">
        <v>40</v>
      </c>
      <c r="V15" s="46"/>
      <c r="W15" s="46" t="s">
        <v>40</v>
      </c>
      <c r="X15" s="46" t="s">
        <v>40</v>
      </c>
      <c r="Y15" s="46"/>
      <c r="Z15" s="46"/>
      <c r="AA15" s="46"/>
      <c r="AB15" s="6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20"/>
      <c r="DN15" s="20"/>
      <c r="DO15" s="20"/>
      <c r="DP15" s="20"/>
      <c r="DQ15" s="20"/>
      <c r="DR15" s="20"/>
      <c r="DS15" s="20"/>
      <c r="DT15" s="20"/>
      <c r="DU15" s="20"/>
      <c r="DV15" s="20"/>
      <c r="DW15" s="20"/>
      <c r="DX15" s="20"/>
      <c r="DY15" s="20"/>
      <c r="DZ15" s="20"/>
      <c r="EA15" s="20"/>
      <c r="EB15" s="20"/>
      <c r="EC15" s="20"/>
    </row>
    <row r="16" spans="1:133" s="3" customFormat="1" ht="27.75" customHeight="1" x14ac:dyDescent="0.2">
      <c r="A16" s="25" t="s">
        <v>189</v>
      </c>
      <c r="B16" s="8" t="s">
        <v>26</v>
      </c>
      <c r="C16" s="8" t="s">
        <v>40</v>
      </c>
      <c r="D16" s="8"/>
      <c r="E16" s="175" t="s">
        <v>206</v>
      </c>
      <c r="F16" s="7"/>
      <c r="G16" s="7"/>
      <c r="H16" s="7"/>
      <c r="I16" s="7"/>
      <c r="J16" s="7"/>
      <c r="K16" s="7"/>
      <c r="L16" s="7"/>
      <c r="M16" s="7"/>
      <c r="N16" s="7"/>
      <c r="O16" s="7"/>
      <c r="P16" s="7"/>
      <c r="Q16" s="7"/>
      <c r="R16" s="7"/>
      <c r="S16" s="7"/>
      <c r="T16" s="7"/>
      <c r="U16" s="7"/>
      <c r="V16" s="7"/>
      <c r="W16" s="7"/>
      <c r="X16" s="7"/>
      <c r="Y16" s="7"/>
      <c r="Z16" s="7"/>
      <c r="AA16" s="46"/>
      <c r="AB16" s="6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20"/>
      <c r="DN16" s="20"/>
      <c r="DO16" s="20"/>
      <c r="DP16" s="20"/>
      <c r="DQ16" s="20"/>
      <c r="DR16" s="20"/>
      <c r="DS16" s="20"/>
      <c r="DT16" s="20"/>
      <c r="DU16" s="20"/>
      <c r="DV16" s="20"/>
      <c r="DW16" s="20"/>
      <c r="DX16" s="20"/>
      <c r="DY16" s="20"/>
      <c r="DZ16" s="20"/>
      <c r="EA16" s="20"/>
      <c r="EB16" s="20"/>
      <c r="EC16" s="20"/>
    </row>
    <row r="17" spans="1:28" s="4" customFormat="1" ht="24" customHeight="1" x14ac:dyDescent="0.4">
      <c r="A17" s="25" t="s">
        <v>68</v>
      </c>
      <c r="B17" s="8" t="s">
        <v>1</v>
      </c>
      <c r="C17" s="8" t="s">
        <v>40</v>
      </c>
      <c r="D17" s="8"/>
      <c r="E17" s="175" t="s">
        <v>206</v>
      </c>
      <c r="F17" s="10"/>
      <c r="G17" s="10"/>
      <c r="H17" s="10"/>
      <c r="I17" s="10"/>
      <c r="J17" s="10"/>
      <c r="K17" s="10"/>
      <c r="L17" s="10"/>
      <c r="M17" s="10"/>
      <c r="N17" s="10"/>
      <c r="O17" s="10"/>
      <c r="P17" s="10"/>
      <c r="Q17" s="10"/>
      <c r="R17" s="10"/>
      <c r="S17" s="10"/>
      <c r="T17" s="10"/>
      <c r="U17" s="10"/>
      <c r="V17" s="10"/>
      <c r="W17" s="10"/>
      <c r="X17" s="10"/>
      <c r="Y17" s="10"/>
      <c r="Z17" s="10"/>
      <c r="AA17" s="11"/>
      <c r="AB17" s="70"/>
    </row>
    <row r="18" spans="1:28" s="4" customFormat="1" ht="36" customHeight="1" x14ac:dyDescent="0.4">
      <c r="A18" s="25" t="s">
        <v>62</v>
      </c>
      <c r="B18" s="8" t="s">
        <v>26</v>
      </c>
      <c r="C18" s="10" t="s">
        <v>61</v>
      </c>
      <c r="D18" s="8"/>
      <c r="E18" s="10" t="s">
        <v>40</v>
      </c>
      <c r="F18" s="10"/>
      <c r="G18" s="10"/>
      <c r="H18" s="10"/>
      <c r="I18" s="10" t="s">
        <v>182</v>
      </c>
      <c r="J18" s="10"/>
      <c r="K18" s="10"/>
      <c r="L18" s="10"/>
      <c r="M18" s="7"/>
      <c r="N18" s="7"/>
      <c r="O18" s="7"/>
      <c r="P18" s="7"/>
      <c r="Q18" s="7" t="s">
        <v>40</v>
      </c>
      <c r="R18" s="148"/>
      <c r="S18" s="148"/>
      <c r="T18" s="7"/>
      <c r="U18" s="7"/>
      <c r="V18" s="10"/>
      <c r="W18" s="46" t="s">
        <v>40</v>
      </c>
      <c r="X18" s="10"/>
      <c r="Y18" s="10"/>
      <c r="Z18" s="10"/>
      <c r="AA18" s="10"/>
      <c r="AB18" s="71"/>
    </row>
    <row r="19" spans="1:28" s="4" customFormat="1" ht="45" customHeight="1" x14ac:dyDescent="0.4">
      <c r="A19" s="174" t="s">
        <v>223</v>
      </c>
      <c r="B19" s="8" t="s">
        <v>51</v>
      </c>
      <c r="C19" s="8"/>
      <c r="D19" s="8" t="s">
        <v>40</v>
      </c>
      <c r="E19" s="10"/>
      <c r="F19" s="10"/>
      <c r="G19" s="10" t="s">
        <v>181</v>
      </c>
      <c r="H19" s="10" t="s">
        <v>183</v>
      </c>
      <c r="I19" s="10" t="s">
        <v>182</v>
      </c>
      <c r="J19" s="10"/>
      <c r="K19" s="10"/>
      <c r="L19" s="10"/>
      <c r="M19" s="10"/>
      <c r="N19" s="10"/>
      <c r="O19" s="7"/>
      <c r="P19" s="7" t="s">
        <v>287</v>
      </c>
      <c r="Q19" s="10"/>
      <c r="R19" s="94"/>
      <c r="S19" s="10"/>
      <c r="T19" s="10"/>
      <c r="U19" s="10"/>
      <c r="V19" s="10" t="s">
        <v>288</v>
      </c>
      <c r="W19" s="10"/>
      <c r="X19" s="10"/>
      <c r="Y19" s="199" t="s">
        <v>267</v>
      </c>
      <c r="Z19" s="200"/>
      <c r="AA19" s="201"/>
      <c r="AB19" s="71"/>
    </row>
    <row r="20" spans="1:28" ht="17.25" customHeight="1" x14ac:dyDescent="0.35">
      <c r="A20" s="36" t="s">
        <v>76</v>
      </c>
      <c r="B20" s="9"/>
      <c r="C20" s="61"/>
      <c r="D20" s="61"/>
      <c r="E20" s="61"/>
      <c r="F20" s="61"/>
      <c r="G20" s="61"/>
      <c r="H20" s="61"/>
      <c r="I20" s="61"/>
      <c r="J20" s="61"/>
      <c r="K20" s="61"/>
      <c r="L20" s="61"/>
      <c r="M20" s="61"/>
      <c r="N20" s="61"/>
      <c r="O20" s="61"/>
      <c r="P20" s="61"/>
      <c r="Q20" s="61"/>
      <c r="R20" s="61"/>
      <c r="S20" s="61"/>
      <c r="T20" s="62"/>
      <c r="U20" s="62"/>
      <c r="V20" s="62"/>
      <c r="W20" s="62"/>
      <c r="X20" s="62"/>
      <c r="Y20" s="62"/>
      <c r="Z20" s="62"/>
      <c r="AA20" s="62"/>
      <c r="AB20" s="67"/>
    </row>
    <row r="21" spans="1:28" s="4" customFormat="1" ht="22.5" customHeight="1" x14ac:dyDescent="0.4">
      <c r="A21" s="25" t="s">
        <v>138</v>
      </c>
      <c r="B21" s="8" t="s">
        <v>1</v>
      </c>
      <c r="C21" s="40"/>
      <c r="D21" s="40" t="s">
        <v>57</v>
      </c>
      <c r="E21" s="10" t="s">
        <v>160</v>
      </c>
      <c r="F21" s="10"/>
      <c r="G21" s="10"/>
      <c r="H21" s="10"/>
      <c r="I21" s="10"/>
      <c r="J21" s="10"/>
      <c r="K21" s="10"/>
      <c r="L21" s="10"/>
      <c r="M21" s="10"/>
      <c r="N21" s="10"/>
      <c r="O21" s="10"/>
      <c r="P21" s="10"/>
      <c r="Q21" s="10"/>
      <c r="R21" s="10"/>
      <c r="S21" s="10"/>
      <c r="T21" s="10"/>
      <c r="U21" s="10"/>
      <c r="V21" s="10"/>
      <c r="W21" s="10"/>
      <c r="X21" s="10"/>
      <c r="Y21" s="10"/>
      <c r="Z21" s="10"/>
      <c r="AA21" s="10"/>
      <c r="AB21" s="71"/>
    </row>
    <row r="22" spans="1:28" s="4" customFormat="1" ht="45" customHeight="1" x14ac:dyDescent="0.4">
      <c r="A22" s="25" t="s">
        <v>139</v>
      </c>
      <c r="B22" s="8" t="s">
        <v>1</v>
      </c>
      <c r="C22" s="40"/>
      <c r="D22" s="40"/>
      <c r="E22" s="7" t="s">
        <v>160</v>
      </c>
      <c r="F22" s="10" t="s">
        <v>161</v>
      </c>
      <c r="G22" s="10" t="s">
        <v>161</v>
      </c>
      <c r="H22" s="10" t="s">
        <v>161</v>
      </c>
      <c r="I22" s="7" t="s">
        <v>161</v>
      </c>
      <c r="J22" s="10"/>
      <c r="K22" s="10" t="s">
        <v>57</v>
      </c>
      <c r="L22" s="10"/>
      <c r="M22" s="10" t="s">
        <v>57</v>
      </c>
      <c r="N22" s="10"/>
      <c r="O22" s="10" t="s">
        <v>57</v>
      </c>
      <c r="P22" s="10"/>
      <c r="Q22" s="10" t="s">
        <v>57</v>
      </c>
      <c r="R22" s="10"/>
      <c r="S22" s="10" t="s">
        <v>57</v>
      </c>
      <c r="T22" s="10"/>
      <c r="U22" s="10" t="s">
        <v>57</v>
      </c>
      <c r="V22" s="10"/>
      <c r="W22" s="10" t="s">
        <v>57</v>
      </c>
      <c r="X22" s="10"/>
      <c r="Y22" s="10"/>
      <c r="Z22" s="10"/>
      <c r="AA22" s="11"/>
      <c r="AB22" s="70"/>
    </row>
    <row r="23" spans="1:28" s="4" customFormat="1" ht="46.5" customHeight="1" x14ac:dyDescent="0.4">
      <c r="A23" s="25" t="s">
        <v>147</v>
      </c>
      <c r="B23" s="8" t="s">
        <v>1</v>
      </c>
      <c r="C23" s="40"/>
      <c r="D23" s="40"/>
      <c r="E23" s="10" t="s">
        <v>40</v>
      </c>
      <c r="F23" s="119"/>
      <c r="G23" s="10" t="s">
        <v>181</v>
      </c>
      <c r="H23" s="116"/>
      <c r="I23" s="10" t="s">
        <v>182</v>
      </c>
      <c r="J23" s="10"/>
      <c r="K23" s="10"/>
      <c r="L23" s="10"/>
      <c r="M23" s="10"/>
      <c r="N23" s="10"/>
      <c r="O23" s="10"/>
      <c r="P23" s="10"/>
      <c r="Q23" s="7"/>
      <c r="R23" s="10"/>
      <c r="S23" s="10"/>
      <c r="T23" s="10"/>
      <c r="U23" s="10"/>
      <c r="V23" s="10" t="s">
        <v>225</v>
      </c>
      <c r="W23" s="10"/>
      <c r="X23" s="10"/>
      <c r="Y23" s="10"/>
      <c r="Z23" s="10"/>
      <c r="AA23" s="11"/>
      <c r="AB23" s="149"/>
    </row>
    <row r="24" spans="1:28" s="4" customFormat="1" ht="26.25" customHeight="1" x14ac:dyDescent="0.4">
      <c r="A24" s="25" t="s">
        <v>52</v>
      </c>
      <c r="B24" s="8" t="s">
        <v>1</v>
      </c>
      <c r="C24" s="179" t="s">
        <v>61</v>
      </c>
      <c r="D24" s="40"/>
      <c r="E24" s="10" t="s">
        <v>40</v>
      </c>
      <c r="F24" s="220" t="s">
        <v>40</v>
      </c>
      <c r="G24" s="221"/>
      <c r="H24" s="220" t="s">
        <v>40</v>
      </c>
      <c r="I24" s="221"/>
      <c r="J24" s="220" t="s">
        <v>40</v>
      </c>
      <c r="K24" s="221"/>
      <c r="L24" s="220" t="s">
        <v>40</v>
      </c>
      <c r="M24" s="221"/>
      <c r="N24" s="220" t="s">
        <v>40</v>
      </c>
      <c r="O24" s="221"/>
      <c r="P24" s="220" t="s">
        <v>40</v>
      </c>
      <c r="Q24" s="221"/>
      <c r="R24" s="220" t="s">
        <v>40</v>
      </c>
      <c r="S24" s="221"/>
      <c r="T24" s="220" t="s">
        <v>40</v>
      </c>
      <c r="U24" s="221"/>
      <c r="V24" s="220" t="s">
        <v>40</v>
      </c>
      <c r="W24" s="221"/>
      <c r="X24" s="158" t="s">
        <v>61</v>
      </c>
      <c r="Y24" s="10"/>
      <c r="Z24" s="10"/>
      <c r="AA24" s="11"/>
      <c r="AB24" s="70"/>
    </row>
    <row r="25" spans="1:28" ht="18.75" customHeight="1" x14ac:dyDescent="0.35">
      <c r="A25" s="27" t="s">
        <v>75</v>
      </c>
      <c r="B25" s="9"/>
      <c r="C25" s="61"/>
      <c r="D25" s="61"/>
      <c r="E25" s="61"/>
      <c r="F25" s="61"/>
      <c r="G25" s="61"/>
      <c r="H25" s="61"/>
      <c r="I25" s="61"/>
      <c r="J25" s="61"/>
      <c r="K25" s="61"/>
      <c r="L25" s="61"/>
      <c r="M25" s="61"/>
      <c r="N25" s="61"/>
      <c r="O25" s="61"/>
      <c r="P25" s="61"/>
      <c r="Q25" s="61"/>
      <c r="R25" s="61"/>
      <c r="S25" s="61"/>
      <c r="T25" s="62"/>
      <c r="U25" s="62"/>
      <c r="V25" s="62"/>
      <c r="W25" s="62"/>
      <c r="X25" s="62"/>
      <c r="Y25" s="62"/>
      <c r="Z25" s="62"/>
      <c r="AA25" s="62"/>
      <c r="AB25" s="67"/>
    </row>
    <row r="26" spans="1:28" ht="24.75" customHeight="1" x14ac:dyDescent="0.35">
      <c r="A26" s="26" t="s">
        <v>174</v>
      </c>
      <c r="B26" s="8" t="s">
        <v>39</v>
      </c>
      <c r="C26" s="8"/>
      <c r="D26" s="8"/>
      <c r="E26" s="10"/>
      <c r="F26" s="151" t="s">
        <v>40</v>
      </c>
      <c r="G26" s="151" t="s">
        <v>40</v>
      </c>
      <c r="H26" s="151" t="s">
        <v>184</v>
      </c>
      <c r="I26" s="151"/>
      <c r="J26" s="151"/>
      <c r="K26" s="151"/>
      <c r="L26" s="151"/>
      <c r="M26" s="151"/>
      <c r="N26" s="151"/>
      <c r="O26" s="151"/>
      <c r="P26" s="151"/>
      <c r="Q26" s="151"/>
      <c r="R26" s="151"/>
      <c r="S26" s="151"/>
      <c r="T26" s="151"/>
      <c r="U26" s="151"/>
      <c r="V26" s="151"/>
      <c r="W26" s="7"/>
      <c r="X26" s="7"/>
      <c r="Y26" s="7"/>
      <c r="Z26" s="7"/>
      <c r="AA26" s="50"/>
      <c r="AB26" s="72"/>
    </row>
    <row r="27" spans="1:28" ht="24.75" customHeight="1" x14ac:dyDescent="0.35">
      <c r="A27" s="26" t="s">
        <v>175</v>
      </c>
      <c r="B27" s="8" t="s">
        <v>39</v>
      </c>
      <c r="C27" s="8"/>
      <c r="D27" s="8"/>
      <c r="E27" s="10"/>
      <c r="F27" s="7"/>
      <c r="G27" s="151" t="s">
        <v>40</v>
      </c>
      <c r="H27" s="151" t="s">
        <v>184</v>
      </c>
      <c r="I27" s="151"/>
      <c r="J27" s="151"/>
      <c r="K27" s="151"/>
      <c r="L27" s="151"/>
      <c r="M27" s="151"/>
      <c r="N27" s="151"/>
      <c r="O27" s="151"/>
      <c r="P27" s="151"/>
      <c r="Q27" s="151"/>
      <c r="R27" s="151"/>
      <c r="S27" s="151"/>
      <c r="T27" s="151"/>
      <c r="U27" s="151"/>
      <c r="V27" s="151"/>
      <c r="W27" s="7"/>
      <c r="X27" s="7"/>
      <c r="Y27" s="7"/>
      <c r="Z27" s="7"/>
      <c r="AA27" s="50"/>
      <c r="AB27" s="72"/>
    </row>
    <row r="28" spans="1:28" ht="24.75" customHeight="1" x14ac:dyDescent="0.35">
      <c r="A28" s="26" t="s">
        <v>176</v>
      </c>
      <c r="B28" s="8" t="s">
        <v>39</v>
      </c>
      <c r="C28" s="8"/>
      <c r="D28" s="8"/>
      <c r="E28" s="10"/>
      <c r="F28" s="7"/>
      <c r="G28" s="7"/>
      <c r="H28" s="151" t="s">
        <v>184</v>
      </c>
      <c r="I28" s="151"/>
      <c r="J28" s="151"/>
      <c r="K28" s="151"/>
      <c r="L28" s="151"/>
      <c r="M28" s="151"/>
      <c r="N28" s="151"/>
      <c r="O28" s="151"/>
      <c r="P28" s="151"/>
      <c r="Q28" s="151"/>
      <c r="R28" s="151"/>
      <c r="S28" s="151"/>
      <c r="T28" s="151"/>
      <c r="U28" s="151"/>
      <c r="V28" s="151"/>
      <c r="W28" s="7"/>
      <c r="X28" s="7"/>
      <c r="Y28" s="7"/>
      <c r="Z28" s="7"/>
      <c r="AA28" s="50"/>
      <c r="AB28" s="72"/>
    </row>
    <row r="29" spans="1:28" ht="24.75" customHeight="1" x14ac:dyDescent="0.35">
      <c r="A29" s="26" t="s">
        <v>130</v>
      </c>
      <c r="B29" s="8" t="s">
        <v>39</v>
      </c>
      <c r="C29" s="8"/>
      <c r="D29" s="8"/>
      <c r="E29" s="10"/>
      <c r="F29" s="151" t="s">
        <v>40</v>
      </c>
      <c r="G29" s="151" t="s">
        <v>40</v>
      </c>
      <c r="H29" s="151" t="s">
        <v>184</v>
      </c>
      <c r="I29" s="151"/>
      <c r="J29" s="151"/>
      <c r="K29" s="151"/>
      <c r="L29" s="151"/>
      <c r="M29" s="151"/>
      <c r="N29" s="151"/>
      <c r="O29" s="151"/>
      <c r="P29" s="151"/>
      <c r="Q29" s="151"/>
      <c r="R29" s="151"/>
      <c r="S29" s="151"/>
      <c r="T29" s="151"/>
      <c r="U29" s="151"/>
      <c r="V29" s="151"/>
      <c r="W29" s="7"/>
      <c r="X29" s="7"/>
      <c r="Y29" s="7"/>
      <c r="Z29" s="7"/>
      <c r="AA29" s="50"/>
      <c r="AB29" s="72"/>
    </row>
    <row r="30" spans="1:28" ht="26.25" customHeight="1" x14ac:dyDescent="0.35">
      <c r="A30" s="26" t="s">
        <v>131</v>
      </c>
      <c r="B30" s="8" t="s">
        <v>39</v>
      </c>
      <c r="C30" s="8"/>
      <c r="D30" s="8"/>
      <c r="E30" s="10"/>
      <c r="F30" s="7"/>
      <c r="G30" s="151" t="s">
        <v>40</v>
      </c>
      <c r="H30" s="151" t="s">
        <v>184</v>
      </c>
      <c r="I30" s="151"/>
      <c r="J30" s="151"/>
      <c r="K30" s="151"/>
      <c r="L30" s="151"/>
      <c r="M30" s="151"/>
      <c r="N30" s="151"/>
      <c r="O30" s="151"/>
      <c r="P30" s="151"/>
      <c r="Q30" s="151"/>
      <c r="R30" s="151"/>
      <c r="S30" s="151"/>
      <c r="T30" s="151"/>
      <c r="U30" s="151"/>
      <c r="V30" s="151"/>
      <c r="W30" s="98"/>
      <c r="X30" s="98"/>
      <c r="Y30" s="98"/>
      <c r="Z30" s="98"/>
      <c r="AA30" s="98"/>
      <c r="AB30" s="23"/>
    </row>
    <row r="31" spans="1:28" ht="27" customHeight="1" x14ac:dyDescent="0.35">
      <c r="A31" s="26" t="s">
        <v>140</v>
      </c>
      <c r="B31" s="8" t="s">
        <v>39</v>
      </c>
      <c r="C31" s="8"/>
      <c r="D31" s="8"/>
      <c r="E31" s="10"/>
      <c r="F31" s="7"/>
      <c r="G31" s="7"/>
      <c r="H31" s="151" t="s">
        <v>184</v>
      </c>
      <c r="I31" s="151"/>
      <c r="J31" s="151"/>
      <c r="K31" s="151"/>
      <c r="L31" s="151"/>
      <c r="M31" s="151"/>
      <c r="N31" s="151"/>
      <c r="O31" s="151"/>
      <c r="P31" s="151"/>
      <c r="Q31" s="151"/>
      <c r="R31" s="151"/>
      <c r="S31" s="151"/>
      <c r="T31" s="151"/>
      <c r="U31" s="151"/>
      <c r="V31" s="151"/>
      <c r="W31" s="98"/>
      <c r="X31" s="98"/>
      <c r="Y31" s="98"/>
      <c r="Z31" s="98"/>
      <c r="AA31" s="98"/>
    </row>
    <row r="32" spans="1:28" ht="27" customHeight="1" x14ac:dyDescent="0.35">
      <c r="A32" s="26" t="s">
        <v>177</v>
      </c>
      <c r="B32" s="8" t="s">
        <v>39</v>
      </c>
      <c r="C32" s="8"/>
      <c r="D32" s="8"/>
      <c r="E32" s="10"/>
      <c r="F32" s="151" t="s">
        <v>40</v>
      </c>
      <c r="G32" s="151" t="s">
        <v>40</v>
      </c>
      <c r="H32" s="151" t="s">
        <v>40</v>
      </c>
      <c r="I32" s="151" t="s">
        <v>40</v>
      </c>
      <c r="J32" s="151" t="s">
        <v>40</v>
      </c>
      <c r="K32" s="151" t="s">
        <v>40</v>
      </c>
      <c r="L32" s="151" t="s">
        <v>40</v>
      </c>
      <c r="M32" s="151" t="s">
        <v>40</v>
      </c>
      <c r="N32" s="151" t="s">
        <v>40</v>
      </c>
      <c r="O32" s="151" t="s">
        <v>40</v>
      </c>
      <c r="P32" s="151" t="s">
        <v>40</v>
      </c>
      <c r="Q32" s="151" t="s">
        <v>40</v>
      </c>
      <c r="R32" s="151" t="s">
        <v>40</v>
      </c>
      <c r="S32" s="151" t="s">
        <v>40</v>
      </c>
      <c r="T32" s="151" t="s">
        <v>40</v>
      </c>
      <c r="U32" s="151" t="s">
        <v>40</v>
      </c>
      <c r="V32" s="151" t="s">
        <v>40</v>
      </c>
      <c r="W32" s="7"/>
      <c r="X32" s="7"/>
      <c r="Y32" s="7"/>
      <c r="Z32" s="7"/>
      <c r="AA32" s="50"/>
      <c r="AB32" s="72"/>
    </row>
    <row r="33" spans="1:28" ht="24.75" customHeight="1" x14ac:dyDescent="0.35">
      <c r="A33" s="26" t="s">
        <v>179</v>
      </c>
      <c r="B33" s="8" t="s">
        <v>39</v>
      </c>
      <c r="C33" s="8"/>
      <c r="D33" s="8"/>
      <c r="E33" s="10"/>
      <c r="F33" s="7"/>
      <c r="G33" s="151" t="s">
        <v>40</v>
      </c>
      <c r="H33" s="151" t="s">
        <v>40</v>
      </c>
      <c r="I33" s="151" t="s">
        <v>40</v>
      </c>
      <c r="J33" s="151" t="s">
        <v>40</v>
      </c>
      <c r="K33" s="151" t="s">
        <v>40</v>
      </c>
      <c r="L33" s="151" t="s">
        <v>40</v>
      </c>
      <c r="M33" s="151" t="s">
        <v>40</v>
      </c>
      <c r="N33" s="151" t="s">
        <v>40</v>
      </c>
      <c r="O33" s="151" t="s">
        <v>40</v>
      </c>
      <c r="P33" s="151" t="s">
        <v>40</v>
      </c>
      <c r="Q33" s="151" t="s">
        <v>40</v>
      </c>
      <c r="R33" s="151" t="s">
        <v>40</v>
      </c>
      <c r="S33" s="151" t="s">
        <v>40</v>
      </c>
      <c r="T33" s="151" t="s">
        <v>40</v>
      </c>
      <c r="U33" s="151" t="s">
        <v>40</v>
      </c>
      <c r="V33" s="151" t="s">
        <v>40</v>
      </c>
      <c r="W33" s="98"/>
      <c r="X33" s="98"/>
      <c r="Y33" s="98"/>
      <c r="Z33" s="98"/>
      <c r="AA33" s="98"/>
    </row>
    <row r="34" spans="1:28" ht="26.25" customHeight="1" x14ac:dyDescent="0.35">
      <c r="A34" s="26" t="s">
        <v>178</v>
      </c>
      <c r="B34" s="8" t="s">
        <v>39</v>
      </c>
      <c r="C34" s="8"/>
      <c r="D34" s="8"/>
      <c r="E34" s="10"/>
      <c r="F34" s="7"/>
      <c r="G34" s="7"/>
      <c r="H34" s="151" t="s">
        <v>40</v>
      </c>
      <c r="I34" s="151" t="s">
        <v>40</v>
      </c>
      <c r="J34" s="151" t="s">
        <v>40</v>
      </c>
      <c r="K34" s="151" t="s">
        <v>40</v>
      </c>
      <c r="L34" s="151" t="s">
        <v>40</v>
      </c>
      <c r="M34" s="151" t="s">
        <v>40</v>
      </c>
      <c r="N34" s="151" t="s">
        <v>40</v>
      </c>
      <c r="O34" s="151" t="s">
        <v>40</v>
      </c>
      <c r="P34" s="151" t="s">
        <v>40</v>
      </c>
      <c r="Q34" s="151" t="s">
        <v>40</v>
      </c>
      <c r="R34" s="151" t="s">
        <v>40</v>
      </c>
      <c r="S34" s="151" t="s">
        <v>40</v>
      </c>
      <c r="T34" s="151" t="s">
        <v>40</v>
      </c>
      <c r="U34" s="151" t="s">
        <v>40</v>
      </c>
      <c r="V34" s="151" t="s">
        <v>40</v>
      </c>
      <c r="W34" s="7"/>
      <c r="X34" s="7"/>
      <c r="Y34" s="7"/>
      <c r="Z34" s="7"/>
      <c r="AA34" s="50"/>
      <c r="AB34" s="72"/>
    </row>
    <row r="35" spans="1:28" ht="25.5" customHeight="1" x14ac:dyDescent="0.35">
      <c r="A35" s="63" t="s">
        <v>141</v>
      </c>
      <c r="B35" s="8" t="s">
        <v>26</v>
      </c>
      <c r="C35" s="8"/>
      <c r="D35" s="8"/>
      <c r="E35" s="7"/>
      <c r="F35" s="64" t="s">
        <v>186</v>
      </c>
      <c r="G35" s="64" t="s">
        <v>186</v>
      </c>
      <c r="H35" s="64" t="s">
        <v>186</v>
      </c>
      <c r="I35" s="7"/>
      <c r="J35" s="43"/>
      <c r="K35" s="64" t="s">
        <v>59</v>
      </c>
      <c r="L35" s="43"/>
      <c r="M35" s="64" t="s">
        <v>59</v>
      </c>
      <c r="N35" s="43"/>
      <c r="O35" s="64" t="s">
        <v>59</v>
      </c>
      <c r="P35" s="43"/>
      <c r="Q35" s="64" t="s">
        <v>59</v>
      </c>
      <c r="R35" s="7"/>
      <c r="S35" s="64" t="s">
        <v>59</v>
      </c>
      <c r="T35" s="7"/>
      <c r="U35" s="64" t="s">
        <v>59</v>
      </c>
      <c r="V35" s="7"/>
      <c r="W35" s="7"/>
      <c r="X35" s="7"/>
      <c r="Y35" s="7"/>
      <c r="Z35" s="7"/>
      <c r="AA35" s="50"/>
      <c r="AB35" s="72"/>
    </row>
    <row r="36" spans="1:28" ht="25.5" customHeight="1" x14ac:dyDescent="0.35">
      <c r="A36" s="65" t="s">
        <v>55</v>
      </c>
      <c r="B36" s="8" t="s">
        <v>56</v>
      </c>
      <c r="C36" s="8"/>
      <c r="D36" s="8"/>
      <c r="E36" s="7"/>
      <c r="F36" s="195" t="s">
        <v>59</v>
      </c>
      <c r="G36" s="195" t="s">
        <v>59</v>
      </c>
      <c r="H36" s="195" t="s">
        <v>59</v>
      </c>
      <c r="I36" s="195" t="s">
        <v>160</v>
      </c>
      <c r="J36" s="43"/>
      <c r="K36" s="7"/>
      <c r="L36" s="43"/>
      <c r="M36" s="7"/>
      <c r="N36" s="43"/>
      <c r="O36" s="7"/>
      <c r="P36" s="43"/>
      <c r="Q36" s="7"/>
      <c r="R36" s="7"/>
      <c r="S36" s="7"/>
      <c r="T36" s="7"/>
      <c r="U36" s="7"/>
      <c r="V36" s="7"/>
      <c r="W36" s="7"/>
      <c r="X36" s="7"/>
      <c r="Y36" s="7"/>
      <c r="Z36" s="7"/>
      <c r="AA36" s="50"/>
      <c r="AB36" s="72"/>
    </row>
    <row r="37" spans="1:28" ht="25.5" customHeight="1" x14ac:dyDescent="0.35">
      <c r="A37" s="25" t="s">
        <v>6</v>
      </c>
      <c r="B37" s="7" t="s">
        <v>26</v>
      </c>
      <c r="C37" s="11" t="s">
        <v>66</v>
      </c>
      <c r="D37" s="7"/>
      <c r="E37" s="175" t="s">
        <v>206</v>
      </c>
      <c r="F37" s="11"/>
      <c r="G37" s="11" t="s">
        <v>40</v>
      </c>
      <c r="H37" s="11" t="s">
        <v>40</v>
      </c>
      <c r="I37" s="11" t="s">
        <v>40</v>
      </c>
      <c r="J37" s="11"/>
      <c r="K37" s="11" t="s">
        <v>66</v>
      </c>
      <c r="L37" s="11"/>
      <c r="M37" s="11" t="s">
        <v>66</v>
      </c>
      <c r="N37" s="11"/>
      <c r="O37" s="11" t="s">
        <v>66</v>
      </c>
      <c r="P37" s="11"/>
      <c r="Q37" s="11" t="s">
        <v>66</v>
      </c>
      <c r="R37" s="11"/>
      <c r="S37" s="11" t="s">
        <v>66</v>
      </c>
      <c r="T37" s="11"/>
      <c r="U37" s="11" t="s">
        <v>66</v>
      </c>
      <c r="V37" s="11"/>
      <c r="W37" s="11" t="s">
        <v>40</v>
      </c>
      <c r="X37" s="11"/>
      <c r="Y37" s="11"/>
      <c r="Z37" s="11"/>
      <c r="AA37" s="11"/>
      <c r="AB37" s="70"/>
    </row>
    <row r="38" spans="1:28" ht="39" customHeight="1" x14ac:dyDescent="0.35">
      <c r="A38" s="25" t="s">
        <v>142</v>
      </c>
      <c r="B38" s="7" t="s">
        <v>26</v>
      </c>
      <c r="C38" s="11" t="s">
        <v>238</v>
      </c>
      <c r="D38" s="11" t="s">
        <v>66</v>
      </c>
      <c r="E38" s="11"/>
      <c r="F38" s="11"/>
      <c r="G38" s="10" t="s">
        <v>181</v>
      </c>
      <c r="H38" s="10" t="s">
        <v>209</v>
      </c>
      <c r="I38" s="10" t="s">
        <v>224</v>
      </c>
      <c r="J38" s="11"/>
      <c r="K38" s="141" t="s">
        <v>66</v>
      </c>
      <c r="L38" s="11"/>
      <c r="M38" s="141" t="s">
        <v>40</v>
      </c>
      <c r="N38" s="11"/>
      <c r="O38" s="141" t="s">
        <v>66</v>
      </c>
      <c r="P38" s="11"/>
      <c r="Q38" s="141" t="s">
        <v>40</v>
      </c>
      <c r="R38" s="11"/>
      <c r="S38" s="141" t="s">
        <v>40</v>
      </c>
      <c r="T38" s="11"/>
      <c r="U38" s="141" t="s">
        <v>66</v>
      </c>
      <c r="V38" s="11" t="s">
        <v>40</v>
      </c>
      <c r="W38" s="141" t="s">
        <v>40</v>
      </c>
      <c r="X38" s="141"/>
      <c r="Y38" s="11"/>
      <c r="Z38" s="11"/>
      <c r="AA38" s="11"/>
      <c r="AB38" s="70"/>
    </row>
    <row r="39" spans="1:28" ht="24" customHeight="1" x14ac:dyDescent="0.35">
      <c r="A39" s="25" t="s">
        <v>143</v>
      </c>
      <c r="B39" s="7" t="s">
        <v>26</v>
      </c>
      <c r="C39" s="7"/>
      <c r="D39" s="47"/>
      <c r="E39" s="47" t="s">
        <v>40</v>
      </c>
      <c r="F39" s="11"/>
      <c r="G39" s="11" t="s">
        <v>40</v>
      </c>
      <c r="H39" s="11" t="s">
        <v>40</v>
      </c>
      <c r="I39" s="11" t="s">
        <v>40</v>
      </c>
      <c r="J39" s="11"/>
      <c r="K39" s="11" t="s">
        <v>66</v>
      </c>
      <c r="L39" s="11"/>
      <c r="M39" s="11" t="s">
        <v>66</v>
      </c>
      <c r="N39" s="11"/>
      <c r="O39" s="11" t="s">
        <v>66</v>
      </c>
      <c r="P39" s="11"/>
      <c r="Q39" s="11" t="s">
        <v>66</v>
      </c>
      <c r="R39" s="11"/>
      <c r="S39" s="11" t="s">
        <v>66</v>
      </c>
      <c r="T39" s="11"/>
      <c r="U39" s="11" t="s">
        <v>66</v>
      </c>
      <c r="V39" s="11"/>
      <c r="W39" s="11" t="s">
        <v>40</v>
      </c>
      <c r="X39" s="11" t="s">
        <v>40</v>
      </c>
      <c r="Y39" s="11"/>
      <c r="Z39" s="11"/>
      <c r="AA39" s="11"/>
      <c r="AB39" s="70"/>
    </row>
    <row r="40" spans="1:28" ht="24" customHeight="1" x14ac:dyDescent="0.35">
      <c r="A40" s="25" t="s">
        <v>240</v>
      </c>
      <c r="B40" s="7" t="s">
        <v>26</v>
      </c>
      <c r="C40" s="7"/>
      <c r="D40" s="7"/>
      <c r="E40" s="7"/>
      <c r="F40" s="11"/>
      <c r="G40" s="11"/>
      <c r="H40" s="11"/>
      <c r="I40" s="11"/>
      <c r="J40" s="11"/>
      <c r="K40" s="11"/>
      <c r="L40" s="11"/>
      <c r="M40" s="11"/>
      <c r="N40" s="11"/>
      <c r="O40" s="11"/>
      <c r="P40" s="11"/>
      <c r="Q40" s="11"/>
      <c r="R40" s="148"/>
      <c r="S40" s="186" t="s">
        <v>273</v>
      </c>
      <c r="T40" s="11"/>
      <c r="U40" s="11"/>
      <c r="V40" s="11"/>
      <c r="W40" s="11"/>
      <c r="X40" s="11"/>
      <c r="Y40" s="191" t="s">
        <v>269</v>
      </c>
      <c r="Z40" s="191" t="s">
        <v>269</v>
      </c>
      <c r="AA40" s="191" t="s">
        <v>269</v>
      </c>
      <c r="AB40" s="70"/>
    </row>
    <row r="41" spans="1:28" s="4" customFormat="1" ht="19.5" customHeight="1" x14ac:dyDescent="0.4">
      <c r="A41" s="216" t="s">
        <v>218</v>
      </c>
      <c r="B41" s="216"/>
      <c r="C41" s="216"/>
      <c r="D41" s="216"/>
      <c r="E41" s="216"/>
      <c r="F41" s="216"/>
      <c r="G41" s="216"/>
      <c r="H41" s="216"/>
      <c r="I41" s="216"/>
      <c r="J41" s="216"/>
      <c r="K41" s="216"/>
      <c r="L41" s="216"/>
      <c r="M41" s="216"/>
      <c r="N41" s="216"/>
      <c r="O41" s="216"/>
      <c r="P41" s="216"/>
      <c r="Q41" s="216"/>
    </row>
    <row r="42" spans="1:28" s="4" customFormat="1" ht="24.75" customHeight="1" x14ac:dyDescent="0.4">
      <c r="A42" s="217" t="s">
        <v>275</v>
      </c>
      <c r="B42" s="218"/>
      <c r="C42" s="218"/>
      <c r="D42" s="218"/>
      <c r="E42" s="218"/>
      <c r="F42" s="218"/>
      <c r="G42" s="218"/>
      <c r="H42" s="218"/>
      <c r="I42" s="218"/>
      <c r="J42" s="218"/>
      <c r="K42" s="218"/>
      <c r="L42" s="218"/>
      <c r="M42" s="218"/>
      <c r="N42" s="218"/>
      <c r="O42" s="218"/>
      <c r="P42" s="218"/>
      <c r="Q42" s="218"/>
    </row>
    <row r="43" spans="1:28" s="4" customFormat="1" ht="18.75" customHeight="1" x14ac:dyDescent="0.4">
      <c r="A43" s="218" t="s">
        <v>289</v>
      </c>
      <c r="B43" s="218"/>
      <c r="C43" s="218"/>
      <c r="D43" s="218"/>
      <c r="E43" s="218"/>
      <c r="F43" s="218"/>
      <c r="G43" s="218"/>
      <c r="H43" s="218"/>
      <c r="I43" s="218"/>
      <c r="J43" s="218"/>
      <c r="K43" s="218"/>
      <c r="L43" s="218"/>
      <c r="M43" s="218"/>
      <c r="N43" s="218"/>
      <c r="O43" s="218"/>
      <c r="P43" s="218"/>
      <c r="Q43" s="218"/>
    </row>
    <row r="44" spans="1:28" ht="21.75" customHeight="1" x14ac:dyDescent="0.35">
      <c r="A44" s="218" t="s">
        <v>270</v>
      </c>
      <c r="B44" s="218"/>
      <c r="C44" s="218"/>
      <c r="D44" s="218"/>
      <c r="E44" s="218"/>
      <c r="F44" s="218"/>
      <c r="G44" s="218"/>
      <c r="H44" s="218"/>
      <c r="I44" s="218"/>
      <c r="J44" s="218"/>
      <c r="K44" s="218"/>
      <c r="L44" s="218"/>
      <c r="M44" s="218"/>
      <c r="N44" s="218"/>
      <c r="O44" s="218"/>
      <c r="P44" s="218"/>
      <c r="Q44" s="218"/>
    </row>
    <row r="45" spans="1:28" ht="20.25" customHeight="1" x14ac:dyDescent="0.35">
      <c r="A45" s="218" t="s">
        <v>268</v>
      </c>
      <c r="B45" s="218"/>
      <c r="C45" s="218"/>
      <c r="D45" s="218"/>
      <c r="E45" s="218"/>
      <c r="F45" s="218"/>
      <c r="G45" s="218"/>
      <c r="H45" s="218"/>
      <c r="I45" s="218"/>
      <c r="J45" s="218"/>
      <c r="K45" s="218"/>
      <c r="L45" s="218"/>
      <c r="M45" s="218"/>
      <c r="N45" s="218"/>
      <c r="O45" s="218"/>
      <c r="P45" s="218"/>
      <c r="Q45" s="218"/>
    </row>
    <row r="46" spans="1:28" ht="18.75" customHeight="1" x14ac:dyDescent="0.35">
      <c r="A46" s="198" t="s">
        <v>274</v>
      </c>
      <c r="B46" s="198"/>
      <c r="C46" s="198"/>
      <c r="D46" s="198"/>
      <c r="E46" s="198"/>
      <c r="F46" s="198"/>
      <c r="G46" s="198"/>
      <c r="H46" s="198"/>
      <c r="I46" s="198"/>
      <c r="J46" s="198"/>
      <c r="K46" s="198"/>
      <c r="L46" s="198"/>
      <c r="M46" s="198"/>
      <c r="N46" s="198"/>
      <c r="O46" s="198"/>
      <c r="P46" s="198"/>
      <c r="Q46" s="198"/>
    </row>
    <row r="47" spans="1:28" ht="19.5" customHeight="1" x14ac:dyDescent="0.35">
      <c r="A47" s="219"/>
      <c r="B47" s="219"/>
      <c r="C47" s="219"/>
      <c r="D47" s="219"/>
      <c r="E47" s="219"/>
      <c r="F47" s="219"/>
      <c r="G47" s="219"/>
      <c r="H47" s="219"/>
      <c r="I47" s="219"/>
      <c r="J47" s="219"/>
      <c r="K47" s="219"/>
      <c r="L47" s="219"/>
      <c r="M47" s="219"/>
      <c r="N47" s="219"/>
      <c r="O47" s="219"/>
      <c r="P47" s="219"/>
      <c r="Q47" s="219"/>
    </row>
    <row r="48" spans="1:28" ht="21.75" customHeight="1" x14ac:dyDescent="0.35">
      <c r="A48" s="22"/>
      <c r="B48" s="21"/>
      <c r="C48" s="21"/>
      <c r="D48" s="21"/>
      <c r="E48" s="21"/>
      <c r="F48" s="21"/>
      <c r="G48" s="16"/>
      <c r="H48" s="16"/>
    </row>
    <row r="49" spans="1:25" ht="19.5" customHeight="1" x14ac:dyDescent="0.35">
      <c r="A49" s="15"/>
      <c r="B49" s="15"/>
      <c r="C49" s="15"/>
      <c r="D49" s="15"/>
      <c r="E49" s="15"/>
      <c r="F49" s="15"/>
      <c r="G49" s="15"/>
      <c r="H49" s="15"/>
    </row>
    <row r="50" spans="1:25" ht="21.75" customHeight="1" x14ac:dyDescent="0.35">
      <c r="A50" s="31"/>
      <c r="B50" s="31"/>
      <c r="C50" s="31"/>
      <c r="D50" s="31"/>
      <c r="E50" s="31"/>
      <c r="F50" s="31"/>
      <c r="G50" s="31"/>
      <c r="H50" s="23"/>
    </row>
    <row r="51" spans="1:25" ht="21.75" customHeight="1" x14ac:dyDescent="0.35">
      <c r="A51" s="31"/>
      <c r="B51" s="31"/>
      <c r="C51" s="31"/>
      <c r="D51" s="31"/>
      <c r="E51" s="31"/>
      <c r="F51" s="31"/>
      <c r="G51" s="32"/>
      <c r="H51" s="23"/>
    </row>
    <row r="52" spans="1:25" ht="25.5" customHeight="1" x14ac:dyDescent="0.35">
      <c r="A52" s="30"/>
      <c r="B52" s="49"/>
      <c r="C52" s="49"/>
      <c r="D52" s="85"/>
      <c r="E52" s="49"/>
      <c r="F52" s="49"/>
      <c r="G52" s="49"/>
      <c r="H52" s="49"/>
    </row>
    <row r="53" spans="1:25" ht="15.75" customHeight="1" x14ac:dyDescent="0.35">
      <c r="A53" s="15"/>
      <c r="B53" s="15"/>
      <c r="C53" s="15"/>
      <c r="D53" s="15"/>
      <c r="E53" s="15"/>
      <c r="F53" s="15"/>
      <c r="G53" s="15"/>
      <c r="H53" s="16"/>
    </row>
    <row r="54" spans="1:25" ht="23.25" customHeight="1" x14ac:dyDescent="0.35">
      <c r="A54" s="15"/>
      <c r="B54" s="15"/>
      <c r="C54" s="15"/>
      <c r="D54" s="15"/>
      <c r="E54" s="15"/>
      <c r="F54" s="15"/>
      <c r="G54" s="15"/>
      <c r="H54" s="16"/>
    </row>
    <row r="55" spans="1:25" ht="21" customHeight="1" x14ac:dyDescent="0.35">
      <c r="A55" s="15"/>
      <c r="B55" s="16"/>
      <c r="C55" s="16"/>
      <c r="D55" s="16"/>
      <c r="E55" s="16"/>
      <c r="F55" s="16"/>
      <c r="G55" s="16"/>
      <c r="H55" s="16"/>
    </row>
    <row r="56" spans="1:25" ht="20.25" customHeight="1" x14ac:dyDescent="0.35">
      <c r="A56" s="15"/>
      <c r="B56" s="15"/>
      <c r="C56" s="15"/>
      <c r="D56" s="15"/>
      <c r="E56" s="15"/>
      <c r="F56" s="15"/>
      <c r="G56" s="15"/>
      <c r="H56" s="15"/>
    </row>
    <row r="57" spans="1:25" ht="20.25" customHeight="1" x14ac:dyDescent="0.35">
      <c r="A57" s="209"/>
      <c r="B57" s="209"/>
      <c r="C57" s="209"/>
      <c r="D57" s="209"/>
      <c r="E57" s="209"/>
      <c r="F57" s="209"/>
      <c r="G57" s="209"/>
      <c r="H57" s="209"/>
      <c r="I57" s="209"/>
      <c r="J57" s="209"/>
      <c r="K57" s="209"/>
      <c r="L57" s="209"/>
      <c r="M57" s="209"/>
      <c r="N57" s="209"/>
      <c r="O57" s="209"/>
      <c r="P57" s="209"/>
      <c r="Q57" s="209"/>
      <c r="R57" s="49"/>
      <c r="S57" s="49"/>
      <c r="T57" s="49"/>
      <c r="U57" s="49"/>
      <c r="V57" s="49"/>
      <c r="W57" s="49"/>
      <c r="X57" s="157"/>
      <c r="Y57" s="49"/>
    </row>
    <row r="58" spans="1:25" x14ac:dyDescent="0.35">
      <c r="A58" s="49"/>
    </row>
    <row r="59" spans="1:25" x14ac:dyDescent="0.35">
      <c r="A59" s="49"/>
    </row>
    <row r="60" spans="1:25" x14ac:dyDescent="0.35">
      <c r="A60" s="49"/>
    </row>
    <row r="61" spans="1:25" x14ac:dyDescent="0.35">
      <c r="A61" s="49"/>
    </row>
    <row r="62" spans="1:25" x14ac:dyDescent="0.35">
      <c r="A62" s="49"/>
    </row>
    <row r="63" spans="1:25" x14ac:dyDescent="0.35">
      <c r="A63" s="49"/>
    </row>
    <row r="64" spans="1:25" x14ac:dyDescent="0.35">
      <c r="A64" s="49"/>
    </row>
    <row r="65" spans="1:1" x14ac:dyDescent="0.35">
      <c r="A65" s="49"/>
    </row>
    <row r="66" spans="1:1" x14ac:dyDescent="0.35">
      <c r="A66" s="49"/>
    </row>
    <row r="67" spans="1:1" x14ac:dyDescent="0.35">
      <c r="A67" s="49"/>
    </row>
  </sheetData>
  <customSheetViews>
    <customSheetView guid="{E175C034-7BBF-422C-BD22-4ED71AA8C1DA}" scale="60" fitToPage="1" printArea="1" hiddenRows="1">
      <pane xSplit="2" ySplit="8" topLeftCell="C21" activePane="bottomRight" state="frozen"/>
      <selection pane="bottomRight" activeCell="A42" sqref="A42:Q42"/>
      <pageMargins left="0.70866141732283472" right="0.70866141732283472" top="0.74803149606299213" bottom="0.74803149606299213" header="0.31496062992125984" footer="0.31496062992125984"/>
      <pageSetup paperSize="8" scale="97" fitToHeight="0" orientation="landscape" r:id="rId1"/>
      <headerFooter alignWithMargins="0">
        <oddFooter>Side &amp;P&amp;RUV1-hTERT-MM-102 v1 02AUG16</oddFooter>
      </headerFooter>
    </customSheetView>
    <customSheetView guid="{E0FF57D7-F57B-4236-B386-D0AB0515A6B2}" scale="50" showPageBreaks="1" fitToPage="1" printArea="1" hiddenRows="1">
      <pane xSplit="2" ySplit="8" topLeftCell="C9" activePane="bottomRight" state="frozen"/>
      <selection pane="bottomRight" activeCell="A49" sqref="A49"/>
      <pageMargins left="0.70866141732283472" right="0.70866141732283472" top="0.74803149606299213" bottom="0.74803149606299213" header="0.31496062992125984" footer="0.31496062992125984"/>
      <pageSetup paperSize="8" scale="85" fitToHeight="0" orientation="landscape" r:id="rId2"/>
      <headerFooter alignWithMargins="0">
        <oddFooter>Side &amp;P&amp;RUV1-hTERT-MM-102 v1 02AUG16</oddFooter>
      </headerFooter>
    </customSheetView>
  </customSheetViews>
  <mergeCells count="24">
    <mergeCell ref="R24:S24"/>
    <mergeCell ref="T24:U24"/>
    <mergeCell ref="X2:AA2"/>
    <mergeCell ref="C2:E2"/>
    <mergeCell ref="A2:B2"/>
    <mergeCell ref="C3:E3"/>
    <mergeCell ref="C4:E4"/>
    <mergeCell ref="F2:W2"/>
    <mergeCell ref="Y19:AA19"/>
    <mergeCell ref="L24:M24"/>
    <mergeCell ref="N24:O24"/>
    <mergeCell ref="P24:Q24"/>
    <mergeCell ref="F24:G24"/>
    <mergeCell ref="H24:I24"/>
    <mergeCell ref="J24:K24"/>
    <mergeCell ref="V24:W24"/>
    <mergeCell ref="A41:Q41"/>
    <mergeCell ref="A42:Q42"/>
    <mergeCell ref="A57:Q57"/>
    <mergeCell ref="A44:Q44"/>
    <mergeCell ref="A43:Q43"/>
    <mergeCell ref="A47:Q47"/>
    <mergeCell ref="A46:Q46"/>
    <mergeCell ref="A45:Q45"/>
  </mergeCells>
  <pageMargins left="0.70866141732283472" right="0.70866141732283472" top="0.74803149606299213" bottom="0.74803149606299213" header="0.31496062992125984" footer="0.31496062992125984"/>
  <pageSetup paperSize="8" scale="85" fitToHeight="0" orientation="landscape" r:id="rId3"/>
  <headerFooter alignWithMargins="0">
    <oddFooter>Side &amp;P&amp;RUV1-hTERT-MM-102 v1 02AUG16</oddFooter>
  </headerFooter>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pageSetUpPr fitToPage="1"/>
  </sheetPr>
  <dimension ref="A1:DQ64"/>
  <sheetViews>
    <sheetView tabSelected="1" zoomScale="60" zoomScaleNormal="60" workbookViewId="0">
      <pane xSplit="2" ySplit="9" topLeftCell="C10" activePane="bottomRight" state="frozen"/>
      <selection pane="topRight" activeCell="C1" sqref="C1"/>
      <selection pane="bottomLeft" activeCell="A9" sqref="A9"/>
      <selection pane="bottomRight" activeCell="V14" sqref="V14"/>
    </sheetView>
  </sheetViews>
  <sheetFormatPr baseColWidth="10" defaultColWidth="18.42578125" defaultRowHeight="27" x14ac:dyDescent="0.35"/>
  <cols>
    <col min="1" max="1" width="54.7109375" style="1" customWidth="1"/>
    <col min="2" max="2" width="14.28515625" style="1" hidden="1" customWidth="1"/>
    <col min="3" max="3" width="16.5703125" style="1" customWidth="1"/>
    <col min="4" max="4" width="15.85546875" style="1" customWidth="1"/>
    <col min="5" max="5" width="17.42578125" style="1" customWidth="1"/>
    <col min="6" max="10" width="12.28515625" style="1" customWidth="1"/>
    <col min="11" max="11" width="14" style="1" customWidth="1"/>
    <col min="12" max="13" width="12.28515625" style="1" customWidth="1"/>
    <col min="14" max="14" width="14.7109375" style="1" customWidth="1"/>
    <col min="15" max="15" width="12.28515625" style="1" customWidth="1"/>
    <col min="16" max="16" width="15.28515625" style="1" customWidth="1"/>
    <col min="17" max="17" width="12.7109375" style="1" customWidth="1"/>
    <col min="18" max="16384" width="18.42578125" style="1"/>
  </cols>
  <sheetData>
    <row r="1" spans="1:121" s="6" customFormat="1" ht="117.75" customHeight="1" x14ac:dyDescent="0.75">
      <c r="A1" s="81" t="s">
        <v>277</v>
      </c>
      <c r="B1" s="54"/>
      <c r="C1" s="55" t="s">
        <v>5</v>
      </c>
      <c r="D1" s="55"/>
      <c r="E1" s="54"/>
      <c r="F1" s="54"/>
      <c r="G1" s="56"/>
      <c r="H1" s="56"/>
      <c r="I1" s="56"/>
      <c r="J1" s="56"/>
      <c r="K1" s="56"/>
      <c r="L1" s="56"/>
      <c r="M1" s="56"/>
      <c r="N1" s="56"/>
      <c r="O1" s="56"/>
      <c r="P1" s="57"/>
      <c r="Q1" s="57"/>
    </row>
    <row r="2" spans="1:121" ht="23.25" customHeight="1" x14ac:dyDescent="0.35">
      <c r="A2" s="256" t="s">
        <v>162</v>
      </c>
      <c r="B2" s="257"/>
      <c r="C2" s="82"/>
      <c r="D2" s="87"/>
      <c r="E2" s="82"/>
      <c r="F2" s="229" t="s">
        <v>4</v>
      </c>
      <c r="G2" s="230"/>
      <c r="H2" s="230"/>
      <c r="I2" s="230"/>
      <c r="J2" s="230"/>
      <c r="K2" s="230"/>
      <c r="L2" s="230"/>
      <c r="M2" s="230"/>
      <c r="N2" s="231"/>
      <c r="O2" s="229" t="s">
        <v>97</v>
      </c>
      <c r="P2" s="230"/>
      <c r="Q2" s="231"/>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21" ht="53.25" customHeight="1" x14ac:dyDescent="0.35">
      <c r="A3" s="83" t="s">
        <v>244</v>
      </c>
      <c r="B3" s="82"/>
      <c r="C3" s="91"/>
      <c r="D3" s="90" t="s">
        <v>0</v>
      </c>
      <c r="E3" s="92"/>
      <c r="F3" s="244" t="s">
        <v>10</v>
      </c>
      <c r="G3" s="245"/>
      <c r="H3" s="246"/>
      <c r="I3" s="244" t="s">
        <v>11</v>
      </c>
      <c r="J3" s="245"/>
      <c r="K3" s="246"/>
      <c r="L3" s="244" t="s">
        <v>93</v>
      </c>
      <c r="M3" s="245"/>
      <c r="N3" s="246"/>
      <c r="O3" s="88" t="s">
        <v>243</v>
      </c>
      <c r="P3" s="112"/>
      <c r="Q3" s="88"/>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row>
    <row r="4" spans="1:121" ht="27" customHeight="1" x14ac:dyDescent="0.35">
      <c r="A4" s="83" t="s">
        <v>7</v>
      </c>
      <c r="B4" s="82"/>
      <c r="C4" s="258"/>
      <c r="D4" s="258"/>
      <c r="E4" s="258"/>
      <c r="F4" s="250" t="s">
        <v>94</v>
      </c>
      <c r="G4" s="251"/>
      <c r="H4" s="252"/>
      <c r="I4" s="253" t="s">
        <v>95</v>
      </c>
      <c r="J4" s="254"/>
      <c r="K4" s="255"/>
      <c r="L4" s="253" t="s">
        <v>96</v>
      </c>
      <c r="M4" s="254"/>
      <c r="N4" s="255"/>
      <c r="O4" s="185">
        <v>41</v>
      </c>
      <c r="P4" s="82" t="s">
        <v>246</v>
      </c>
      <c r="Q4" s="93" t="s">
        <v>245</v>
      </c>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row>
    <row r="5" spans="1:121" ht="81" x14ac:dyDescent="0.35">
      <c r="A5" s="51" t="s">
        <v>256</v>
      </c>
      <c r="B5" s="28"/>
      <c r="C5" s="176" t="s">
        <v>72</v>
      </c>
      <c r="D5" s="182" t="s">
        <v>180</v>
      </c>
      <c r="E5" s="182" t="s">
        <v>204</v>
      </c>
      <c r="F5" s="247" t="s">
        <v>253</v>
      </c>
      <c r="G5" s="248"/>
      <c r="H5" s="249"/>
      <c r="I5" s="241" t="s">
        <v>254</v>
      </c>
      <c r="J5" s="242"/>
      <c r="K5" s="243"/>
      <c r="L5" s="241" t="s">
        <v>255</v>
      </c>
      <c r="M5" s="242"/>
      <c r="N5" s="243"/>
      <c r="O5" s="89" t="s">
        <v>260</v>
      </c>
      <c r="P5" s="89" t="s">
        <v>69</v>
      </c>
      <c r="Q5" s="89" t="s">
        <v>70</v>
      </c>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row>
    <row r="6" spans="1:121" ht="24.75" customHeight="1" x14ac:dyDescent="0.35">
      <c r="A6" s="51"/>
      <c r="B6" s="28"/>
      <c r="C6" s="182"/>
      <c r="D6" s="182"/>
      <c r="E6" s="182"/>
      <c r="F6" s="193" t="s">
        <v>247</v>
      </c>
      <c r="G6" s="193"/>
      <c r="H6" s="193" t="s">
        <v>248</v>
      </c>
      <c r="I6" s="89" t="s">
        <v>259</v>
      </c>
      <c r="J6" s="33"/>
      <c r="K6" s="89" t="s">
        <v>249</v>
      </c>
      <c r="L6" s="89" t="s">
        <v>252</v>
      </c>
      <c r="M6" s="33"/>
      <c r="N6" s="89" t="s">
        <v>250</v>
      </c>
      <c r="O6" s="33"/>
      <c r="P6" s="89" t="s">
        <v>251</v>
      </c>
      <c r="Q6" s="89" t="s">
        <v>282</v>
      </c>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row>
    <row r="7" spans="1:121" s="5" customFormat="1" ht="24" customHeight="1" x14ac:dyDescent="0.2">
      <c r="A7" s="52" t="s">
        <v>8</v>
      </c>
      <c r="B7" s="12"/>
      <c r="C7" s="12"/>
      <c r="D7" s="12"/>
      <c r="E7" s="12"/>
      <c r="F7" s="34"/>
      <c r="G7" s="35"/>
      <c r="H7" s="35">
        <f>(F7+89)</f>
        <v>89</v>
      </c>
      <c r="I7" s="35">
        <f>(H7+1)</f>
        <v>90</v>
      </c>
      <c r="J7" s="35"/>
      <c r="K7" s="35">
        <f>(H7+90)</f>
        <v>179</v>
      </c>
      <c r="L7" s="35">
        <f>(K7+1)</f>
        <v>180</v>
      </c>
      <c r="M7" s="35"/>
      <c r="N7" s="35">
        <f>(K7+90)</f>
        <v>269</v>
      </c>
      <c r="O7" s="35">
        <f>(N7+14)</f>
        <v>283</v>
      </c>
      <c r="P7" s="35">
        <f>(F7+359)</f>
        <v>359</v>
      </c>
      <c r="Q7" s="35">
        <f>(F7+719)</f>
        <v>719</v>
      </c>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8"/>
      <c r="DB7" s="18"/>
      <c r="DC7" s="18"/>
      <c r="DD7" s="18"/>
      <c r="DE7" s="18"/>
      <c r="DF7" s="18"/>
      <c r="DG7" s="18"/>
      <c r="DH7" s="18"/>
      <c r="DI7" s="18"/>
      <c r="DJ7" s="18"/>
      <c r="DK7" s="18"/>
      <c r="DL7" s="18"/>
      <c r="DM7" s="18"/>
      <c r="DN7" s="18"/>
      <c r="DO7" s="18"/>
      <c r="DP7" s="18"/>
      <c r="DQ7" s="18"/>
    </row>
    <row r="8" spans="1:121" s="3" customFormat="1" ht="30.75" customHeight="1" x14ac:dyDescent="0.2">
      <c r="A8" s="53" t="s">
        <v>9</v>
      </c>
      <c r="B8" s="12"/>
      <c r="C8" s="58"/>
      <c r="D8" s="58"/>
      <c r="E8" s="58"/>
      <c r="F8" s="58"/>
      <c r="G8" s="59"/>
      <c r="H8" s="59"/>
      <c r="I8" s="59"/>
      <c r="J8" s="59"/>
      <c r="K8" s="59"/>
      <c r="L8" s="59"/>
      <c r="M8" s="59"/>
      <c r="N8" s="59"/>
      <c r="O8" s="59"/>
      <c r="P8" s="59"/>
      <c r="Q8" s="5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20"/>
      <c r="DB8" s="20"/>
      <c r="DC8" s="20"/>
      <c r="DD8" s="20"/>
      <c r="DE8" s="20"/>
      <c r="DF8" s="20"/>
      <c r="DG8" s="20"/>
      <c r="DH8" s="20"/>
      <c r="DI8" s="20"/>
      <c r="DJ8" s="20"/>
      <c r="DK8" s="20"/>
      <c r="DL8" s="20"/>
      <c r="DM8" s="20"/>
      <c r="DN8" s="20"/>
      <c r="DO8" s="20"/>
      <c r="DP8" s="20"/>
      <c r="DQ8" s="20"/>
    </row>
    <row r="9" spans="1:121" s="3" customFormat="1" ht="18.75" customHeight="1" x14ac:dyDescent="0.2">
      <c r="A9" s="39" t="s">
        <v>77</v>
      </c>
      <c r="B9" s="37" t="s">
        <v>2</v>
      </c>
      <c r="C9" s="37"/>
      <c r="D9" s="37"/>
      <c r="E9" s="60"/>
      <c r="F9" s="9"/>
      <c r="G9" s="13"/>
      <c r="H9" s="13"/>
      <c r="I9" s="13"/>
      <c r="J9" s="13"/>
      <c r="K9" s="13"/>
      <c r="L9" s="13"/>
      <c r="M9" s="13"/>
      <c r="N9" s="13"/>
      <c r="O9" s="13"/>
      <c r="P9" s="13"/>
      <c r="Q9" s="13"/>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20"/>
      <c r="DB9" s="20"/>
      <c r="DC9" s="20"/>
      <c r="DD9" s="20"/>
      <c r="DE9" s="20"/>
      <c r="DF9" s="20"/>
      <c r="DG9" s="20"/>
      <c r="DH9" s="20"/>
      <c r="DI9" s="20"/>
      <c r="DJ9" s="20"/>
      <c r="DK9" s="20"/>
      <c r="DL9" s="20"/>
      <c r="DM9" s="20"/>
      <c r="DN9" s="20"/>
      <c r="DO9" s="20"/>
      <c r="DP9" s="20"/>
      <c r="DQ9" s="20"/>
    </row>
    <row r="10" spans="1:121" s="3" customFormat="1" ht="22.5" customHeight="1" x14ac:dyDescent="0.2">
      <c r="A10" s="25" t="s">
        <v>43</v>
      </c>
      <c r="B10" s="8" t="s">
        <v>26</v>
      </c>
      <c r="C10" s="178" t="s">
        <v>40</v>
      </c>
      <c r="D10" s="178"/>
      <c r="E10" s="179"/>
      <c r="F10" s="7"/>
      <c r="G10" s="46"/>
      <c r="H10" s="46"/>
      <c r="I10" s="46"/>
      <c r="J10" s="46"/>
      <c r="K10" s="46"/>
      <c r="L10" s="46"/>
      <c r="M10" s="46"/>
      <c r="N10" s="46"/>
      <c r="O10" s="46"/>
      <c r="P10" s="46"/>
      <c r="Q10" s="46"/>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20"/>
      <c r="DB10" s="20"/>
      <c r="DC10" s="20"/>
      <c r="DD10" s="20"/>
      <c r="DE10" s="20"/>
      <c r="DF10" s="20"/>
      <c r="DG10" s="20"/>
      <c r="DH10" s="20"/>
      <c r="DI10" s="20"/>
      <c r="DJ10" s="20"/>
      <c r="DK10" s="20"/>
      <c r="DL10" s="20"/>
      <c r="DM10" s="20"/>
      <c r="DN10" s="20"/>
      <c r="DO10" s="20"/>
      <c r="DP10" s="20"/>
      <c r="DQ10" s="20"/>
    </row>
    <row r="11" spans="1:121" s="3" customFormat="1" ht="22.5" customHeight="1" x14ac:dyDescent="0.2">
      <c r="A11" s="25" t="s">
        <v>44</v>
      </c>
      <c r="B11" s="8" t="s">
        <v>26</v>
      </c>
      <c r="C11" s="178" t="s">
        <v>40</v>
      </c>
      <c r="D11" s="178"/>
      <c r="E11" s="186" t="s">
        <v>206</v>
      </c>
      <c r="F11" s="7"/>
      <c r="G11" s="46"/>
      <c r="H11" s="46"/>
      <c r="I11" s="46"/>
      <c r="J11" s="46"/>
      <c r="K11" s="46"/>
      <c r="L11" s="46"/>
      <c r="M11" s="46"/>
      <c r="N11" s="46"/>
      <c r="O11" s="46"/>
      <c r="P11" s="46"/>
      <c r="Q11" s="46"/>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20"/>
      <c r="DB11" s="20"/>
      <c r="DC11" s="20"/>
      <c r="DD11" s="20"/>
      <c r="DE11" s="20"/>
      <c r="DF11" s="20"/>
      <c r="DG11" s="20"/>
      <c r="DH11" s="20"/>
      <c r="DI11" s="20"/>
      <c r="DJ11" s="20"/>
      <c r="DK11" s="20"/>
      <c r="DL11" s="20"/>
      <c r="DM11" s="20"/>
      <c r="DN11" s="20"/>
      <c r="DO11" s="20"/>
      <c r="DP11" s="20"/>
      <c r="DQ11" s="20"/>
    </row>
    <row r="12" spans="1:121" s="3" customFormat="1" ht="22.5" customHeight="1" x14ac:dyDescent="0.2">
      <c r="A12" s="25" t="s">
        <v>45</v>
      </c>
      <c r="B12" s="8" t="s">
        <v>26</v>
      </c>
      <c r="C12" s="178"/>
      <c r="D12" s="177" t="s">
        <v>40</v>
      </c>
      <c r="E12" s="177" t="s">
        <v>61</v>
      </c>
      <c r="F12" s="7"/>
      <c r="G12" s="46"/>
      <c r="H12" s="46"/>
      <c r="I12" s="46"/>
      <c r="J12" s="46"/>
      <c r="K12" s="46"/>
      <c r="L12" s="46"/>
      <c r="M12" s="46"/>
      <c r="N12" s="46"/>
      <c r="O12" s="46"/>
      <c r="P12" s="46"/>
      <c r="Q12" s="46"/>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20"/>
      <c r="DB12" s="20"/>
      <c r="DC12" s="20"/>
      <c r="DD12" s="20"/>
      <c r="DE12" s="20"/>
      <c r="DF12" s="20"/>
      <c r="DG12" s="20"/>
      <c r="DH12" s="20"/>
      <c r="DI12" s="20"/>
      <c r="DJ12" s="20"/>
      <c r="DK12" s="20"/>
      <c r="DL12" s="20"/>
      <c r="DM12" s="20"/>
      <c r="DN12" s="20"/>
      <c r="DO12" s="20"/>
      <c r="DP12" s="20"/>
      <c r="DQ12" s="20"/>
    </row>
    <row r="13" spans="1:121" s="3" customFormat="1" ht="22.5" customHeight="1" x14ac:dyDescent="0.2">
      <c r="A13" s="25" t="s">
        <v>53</v>
      </c>
      <c r="B13" s="8" t="s">
        <v>26</v>
      </c>
      <c r="C13" s="178" t="s">
        <v>40</v>
      </c>
      <c r="D13" s="177"/>
      <c r="E13" s="186" t="s">
        <v>206</v>
      </c>
      <c r="F13" s="7"/>
      <c r="G13" s="46"/>
      <c r="H13" s="46"/>
      <c r="I13" s="46"/>
      <c r="J13" s="46"/>
      <c r="K13" s="46"/>
      <c r="L13" s="46"/>
      <c r="M13" s="46"/>
      <c r="N13" s="46"/>
      <c r="O13" s="46"/>
      <c r="P13" s="46"/>
      <c r="Q13" s="46"/>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20"/>
      <c r="DB13" s="20"/>
      <c r="DC13" s="20"/>
      <c r="DD13" s="20"/>
      <c r="DE13" s="20"/>
      <c r="DF13" s="20"/>
      <c r="DG13" s="20"/>
      <c r="DH13" s="20"/>
      <c r="DI13" s="20"/>
      <c r="DJ13" s="20"/>
      <c r="DK13" s="20"/>
      <c r="DL13" s="20"/>
      <c r="DM13" s="20"/>
      <c r="DN13" s="20"/>
      <c r="DO13" s="20"/>
      <c r="DP13" s="20"/>
      <c r="DQ13" s="20"/>
    </row>
    <row r="14" spans="1:121" s="3" customFormat="1" ht="24" customHeight="1" x14ac:dyDescent="0.2">
      <c r="A14" s="181" t="s">
        <v>187</v>
      </c>
      <c r="B14" s="8" t="s">
        <v>26</v>
      </c>
      <c r="C14" s="177" t="s">
        <v>40</v>
      </c>
      <c r="D14" s="177"/>
      <c r="E14" s="186" t="s">
        <v>206</v>
      </c>
      <c r="F14" s="7"/>
      <c r="G14" s="46"/>
      <c r="H14" s="179" t="s">
        <v>227</v>
      </c>
      <c r="I14" s="46"/>
      <c r="J14" s="46"/>
      <c r="K14" s="179" t="s">
        <v>228</v>
      </c>
      <c r="L14" s="46"/>
      <c r="M14" s="46"/>
      <c r="N14" s="179" t="s">
        <v>234</v>
      </c>
      <c r="O14" s="10"/>
      <c r="P14" s="46"/>
      <c r="Q14" s="46"/>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20"/>
      <c r="DB14" s="20"/>
      <c r="DC14" s="20"/>
      <c r="DD14" s="20"/>
      <c r="DE14" s="20"/>
      <c r="DF14" s="20"/>
      <c r="DG14" s="20"/>
      <c r="DH14" s="20"/>
      <c r="DI14" s="20"/>
      <c r="DJ14" s="20"/>
      <c r="DK14" s="20"/>
      <c r="DL14" s="20"/>
      <c r="DM14" s="20"/>
      <c r="DN14" s="20"/>
      <c r="DO14" s="20"/>
      <c r="DP14" s="20"/>
      <c r="DQ14" s="20"/>
    </row>
    <row r="15" spans="1:121" s="4" customFormat="1" ht="28.5" customHeight="1" x14ac:dyDescent="0.4">
      <c r="A15" s="25" t="s">
        <v>157</v>
      </c>
      <c r="B15" s="8" t="s">
        <v>26</v>
      </c>
      <c r="C15" s="177" t="s">
        <v>40</v>
      </c>
      <c r="D15" s="177"/>
      <c r="E15" s="186" t="s">
        <v>206</v>
      </c>
      <c r="F15" s="10"/>
      <c r="G15" s="10"/>
      <c r="H15" s="10" t="s">
        <v>227</v>
      </c>
      <c r="I15" s="10"/>
      <c r="J15" s="46"/>
      <c r="K15" s="10" t="s">
        <v>228</v>
      </c>
      <c r="L15" s="10"/>
      <c r="M15" s="46"/>
      <c r="N15" s="10" t="s">
        <v>234</v>
      </c>
      <c r="O15" s="10"/>
      <c r="P15" s="10" t="s">
        <v>156</v>
      </c>
      <c r="Q15" s="10"/>
    </row>
    <row r="16" spans="1:121" s="3" customFormat="1" ht="27" customHeight="1" x14ac:dyDescent="0.2">
      <c r="A16" s="25" t="s">
        <v>216</v>
      </c>
      <c r="B16" s="7" t="s">
        <v>26</v>
      </c>
      <c r="C16" s="177" t="s">
        <v>40</v>
      </c>
      <c r="D16" s="177"/>
      <c r="E16" s="186" t="s">
        <v>206</v>
      </c>
      <c r="F16" s="239" t="s">
        <v>154</v>
      </c>
      <c r="G16" s="240"/>
      <c r="H16" s="179" t="s">
        <v>227</v>
      </c>
      <c r="I16" s="239" t="s">
        <v>154</v>
      </c>
      <c r="J16" s="240"/>
      <c r="K16" s="179" t="s">
        <v>228</v>
      </c>
      <c r="L16" s="239" t="s">
        <v>154</v>
      </c>
      <c r="M16" s="240"/>
      <c r="N16" s="179" t="s">
        <v>234</v>
      </c>
      <c r="O16" s="10" t="s">
        <v>40</v>
      </c>
      <c r="P16" s="10" t="s">
        <v>156</v>
      </c>
      <c r="Q16" s="46"/>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20"/>
      <c r="DB16" s="20"/>
      <c r="DC16" s="20"/>
      <c r="DD16" s="20"/>
      <c r="DE16" s="20"/>
      <c r="DF16" s="20"/>
      <c r="DG16" s="20"/>
      <c r="DH16" s="20"/>
      <c r="DI16" s="20"/>
      <c r="DJ16" s="20"/>
      <c r="DK16" s="20"/>
      <c r="DL16" s="20"/>
      <c r="DM16" s="20"/>
      <c r="DN16" s="20"/>
      <c r="DO16" s="20"/>
      <c r="DP16" s="20"/>
      <c r="DQ16" s="20"/>
    </row>
    <row r="17" spans="1:121" s="3" customFormat="1" ht="27.75" customHeight="1" x14ac:dyDescent="0.2">
      <c r="A17" s="25" t="s">
        <v>189</v>
      </c>
      <c r="B17" s="8" t="s">
        <v>26</v>
      </c>
      <c r="C17" s="177" t="s">
        <v>40</v>
      </c>
      <c r="D17" s="177"/>
      <c r="E17" s="186" t="s">
        <v>206</v>
      </c>
      <c r="F17" s="7"/>
      <c r="G17" s="7"/>
      <c r="H17" s="7"/>
      <c r="I17" s="7"/>
      <c r="J17" s="7"/>
      <c r="K17" s="7"/>
      <c r="L17" s="7"/>
      <c r="M17" s="7"/>
      <c r="N17" s="7"/>
      <c r="O17" s="7"/>
      <c r="P17" s="7"/>
      <c r="Q17" s="7"/>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20"/>
      <c r="DB17" s="20"/>
      <c r="DC17" s="20"/>
      <c r="DD17" s="20"/>
      <c r="DE17" s="20"/>
      <c r="DF17" s="20"/>
      <c r="DG17" s="20"/>
      <c r="DH17" s="20"/>
      <c r="DI17" s="20"/>
      <c r="DJ17" s="20"/>
      <c r="DK17" s="20"/>
      <c r="DL17" s="20"/>
      <c r="DM17" s="20"/>
      <c r="DN17" s="20"/>
      <c r="DO17" s="20"/>
      <c r="DP17" s="20"/>
      <c r="DQ17" s="20"/>
    </row>
    <row r="18" spans="1:121" s="4" customFormat="1" ht="24" customHeight="1" x14ac:dyDescent="0.4">
      <c r="A18" s="25" t="s">
        <v>67</v>
      </c>
      <c r="B18" s="8" t="s">
        <v>1</v>
      </c>
      <c r="C18" s="177" t="s">
        <v>40</v>
      </c>
      <c r="D18" s="177"/>
      <c r="E18" s="186" t="s">
        <v>206</v>
      </c>
      <c r="F18" s="10"/>
      <c r="G18" s="10"/>
      <c r="H18" s="10"/>
      <c r="I18" s="10"/>
      <c r="J18" s="10"/>
      <c r="K18" s="10"/>
      <c r="L18" s="10"/>
      <c r="M18" s="10"/>
      <c r="N18" s="10"/>
      <c r="O18" s="10"/>
      <c r="P18" s="10"/>
      <c r="Q18" s="10"/>
    </row>
    <row r="19" spans="1:121" s="4" customFormat="1" ht="28.5" customHeight="1" x14ac:dyDescent="0.4">
      <c r="A19" s="25" t="s">
        <v>62</v>
      </c>
      <c r="B19" s="8" t="s">
        <v>26</v>
      </c>
      <c r="C19" s="177" t="s">
        <v>61</v>
      </c>
      <c r="D19" s="177"/>
      <c r="E19" s="177" t="s">
        <v>40</v>
      </c>
      <c r="F19" s="10"/>
      <c r="G19" s="10"/>
      <c r="H19" s="179" t="s">
        <v>227</v>
      </c>
      <c r="I19" s="10"/>
      <c r="J19" s="46"/>
      <c r="K19" s="179" t="s">
        <v>228</v>
      </c>
      <c r="L19" s="10"/>
      <c r="M19" s="46"/>
      <c r="N19" s="179" t="s">
        <v>234</v>
      </c>
      <c r="O19" s="10"/>
      <c r="P19" s="10" t="s">
        <v>156</v>
      </c>
      <c r="Q19" s="10"/>
    </row>
    <row r="20" spans="1:121" s="4" customFormat="1" ht="47.25" customHeight="1" x14ac:dyDescent="0.4">
      <c r="A20" s="181" t="s">
        <v>223</v>
      </c>
      <c r="B20" s="8" t="s">
        <v>51</v>
      </c>
      <c r="C20" s="177"/>
      <c r="D20" s="177" t="s">
        <v>283</v>
      </c>
      <c r="E20" s="177"/>
      <c r="F20" s="10"/>
      <c r="G20" s="10"/>
      <c r="H20" s="179" t="s">
        <v>294</v>
      </c>
      <c r="I20" s="10"/>
      <c r="J20" s="7"/>
      <c r="K20" s="179" t="s">
        <v>295</v>
      </c>
      <c r="L20" s="10"/>
      <c r="M20" s="10"/>
      <c r="N20" s="179" t="s">
        <v>296</v>
      </c>
      <c r="O20" s="10"/>
      <c r="P20" s="10" t="s">
        <v>159</v>
      </c>
      <c r="Q20" s="10" t="s">
        <v>235</v>
      </c>
    </row>
    <row r="21" spans="1:121" ht="17.25" customHeight="1" x14ac:dyDescent="0.35">
      <c r="A21" s="36" t="s">
        <v>76</v>
      </c>
      <c r="B21" s="9"/>
      <c r="C21" s="61"/>
      <c r="D21" s="61"/>
      <c r="E21" s="61"/>
      <c r="F21" s="61"/>
      <c r="G21" s="61"/>
      <c r="H21" s="61"/>
      <c r="I21" s="61"/>
      <c r="J21" s="61"/>
      <c r="K21" s="61"/>
      <c r="L21" s="61"/>
      <c r="M21" s="61"/>
      <c r="N21" s="62"/>
      <c r="O21" s="62"/>
      <c r="P21" s="62"/>
      <c r="Q21" s="62"/>
    </row>
    <row r="22" spans="1:121" s="4" customFormat="1" ht="24.75" customHeight="1" x14ac:dyDescent="0.4">
      <c r="A22" s="25" t="s">
        <v>148</v>
      </c>
      <c r="B22" s="8" t="s">
        <v>1</v>
      </c>
      <c r="C22" s="177" t="s">
        <v>160</v>
      </c>
      <c r="D22" s="7"/>
      <c r="E22" s="7" t="s">
        <v>160</v>
      </c>
      <c r="F22" s="7"/>
      <c r="G22" s="7"/>
      <c r="H22" s="7"/>
      <c r="I22" s="7"/>
      <c r="J22" s="7"/>
      <c r="K22" s="7"/>
      <c r="L22" s="7"/>
      <c r="M22" s="7"/>
      <c r="N22" s="7"/>
      <c r="O22" s="7"/>
      <c r="P22" s="7"/>
      <c r="Q22" s="10"/>
    </row>
    <row r="23" spans="1:121" s="4" customFormat="1" ht="23.25" customHeight="1" x14ac:dyDescent="0.4">
      <c r="A23" s="25" t="s">
        <v>151</v>
      </c>
      <c r="B23" s="8" t="s">
        <v>1</v>
      </c>
      <c r="C23" s="177" t="s">
        <v>57</v>
      </c>
      <c r="D23" s="7"/>
      <c r="E23" s="7" t="s">
        <v>160</v>
      </c>
      <c r="F23" s="233" t="s">
        <v>163</v>
      </c>
      <c r="G23" s="234"/>
      <c r="H23" s="235"/>
      <c r="I23" s="233" t="s">
        <v>163</v>
      </c>
      <c r="J23" s="234"/>
      <c r="K23" s="235"/>
      <c r="L23" s="233" t="s">
        <v>263</v>
      </c>
      <c r="M23" s="234"/>
      <c r="N23" s="7" t="s">
        <v>57</v>
      </c>
      <c r="O23" s="7" t="s">
        <v>57</v>
      </c>
      <c r="P23" s="7" t="s">
        <v>57</v>
      </c>
      <c r="Q23" s="10"/>
    </row>
    <row r="24" spans="1:121" s="4" customFormat="1" ht="27" customHeight="1" x14ac:dyDescent="0.4">
      <c r="A24" s="84" t="s">
        <v>150</v>
      </c>
      <c r="B24" s="8" t="s">
        <v>1</v>
      </c>
      <c r="C24" s="187" t="s">
        <v>160</v>
      </c>
      <c r="D24" s="152"/>
      <c r="E24" s="152" t="s">
        <v>160</v>
      </c>
      <c r="F24" s="236" t="s">
        <v>164</v>
      </c>
      <c r="G24" s="237"/>
      <c r="H24" s="238"/>
      <c r="I24" s="236" t="s">
        <v>164</v>
      </c>
      <c r="J24" s="237"/>
      <c r="K24" s="238"/>
      <c r="L24" s="236" t="s">
        <v>165</v>
      </c>
      <c r="M24" s="237"/>
      <c r="N24" s="152" t="s">
        <v>160</v>
      </c>
      <c r="O24" s="152" t="s">
        <v>160</v>
      </c>
      <c r="P24" s="152" t="s">
        <v>160</v>
      </c>
      <c r="Q24" s="10"/>
    </row>
    <row r="25" spans="1:121" s="4" customFormat="1" ht="24.75" customHeight="1" x14ac:dyDescent="0.4">
      <c r="A25" s="84" t="s">
        <v>149</v>
      </c>
      <c r="B25" s="8" t="s">
        <v>1</v>
      </c>
      <c r="C25" s="187" t="s">
        <v>160</v>
      </c>
      <c r="D25" s="152"/>
      <c r="E25" s="152" t="s">
        <v>160</v>
      </c>
      <c r="F25" s="236" t="s">
        <v>164</v>
      </c>
      <c r="G25" s="237"/>
      <c r="H25" s="238"/>
      <c r="I25" s="236" t="s">
        <v>164</v>
      </c>
      <c r="J25" s="237"/>
      <c r="K25" s="238"/>
      <c r="L25" s="236" t="s">
        <v>165</v>
      </c>
      <c r="M25" s="237"/>
      <c r="N25" s="152" t="s">
        <v>160</v>
      </c>
      <c r="O25" s="152" t="s">
        <v>160</v>
      </c>
      <c r="P25" s="152" t="s">
        <v>160</v>
      </c>
      <c r="Q25" s="10"/>
    </row>
    <row r="26" spans="1:121" s="4" customFormat="1" ht="24.75" customHeight="1" x14ac:dyDescent="0.4">
      <c r="A26" s="25" t="s">
        <v>152</v>
      </c>
      <c r="B26" s="8" t="s">
        <v>1</v>
      </c>
      <c r="C26" s="184"/>
      <c r="D26" s="146"/>
      <c r="E26" s="7" t="s">
        <v>40</v>
      </c>
      <c r="F26" s="119"/>
      <c r="G26" s="7"/>
      <c r="H26" s="179" t="s">
        <v>227</v>
      </c>
      <c r="I26" s="7"/>
      <c r="J26" s="7"/>
      <c r="K26" s="179" t="s">
        <v>228</v>
      </c>
      <c r="L26" s="7"/>
      <c r="M26" s="7"/>
      <c r="N26" s="179" t="s">
        <v>234</v>
      </c>
      <c r="O26" s="7"/>
      <c r="P26" s="7" t="s">
        <v>156</v>
      </c>
      <c r="Q26" s="10"/>
      <c r="R26" s="145"/>
    </row>
    <row r="27" spans="1:121" s="4" customFormat="1" ht="26.25" customHeight="1" x14ac:dyDescent="0.4">
      <c r="A27" s="25" t="s">
        <v>52</v>
      </c>
      <c r="B27" s="8" t="s">
        <v>1</v>
      </c>
      <c r="C27" s="183" t="s">
        <v>61</v>
      </c>
      <c r="D27" s="40"/>
      <c r="E27" s="10" t="s">
        <v>40</v>
      </c>
      <c r="F27" s="199" t="s">
        <v>154</v>
      </c>
      <c r="G27" s="200"/>
      <c r="H27" s="201"/>
      <c r="I27" s="199" t="s">
        <v>154</v>
      </c>
      <c r="J27" s="200"/>
      <c r="K27" s="201"/>
      <c r="L27" s="199" t="s">
        <v>154</v>
      </c>
      <c r="M27" s="200"/>
      <c r="N27" s="201"/>
      <c r="O27" s="10" t="s">
        <v>61</v>
      </c>
      <c r="P27" s="10"/>
      <c r="Q27" s="10"/>
    </row>
    <row r="28" spans="1:121" ht="18.75" customHeight="1" x14ac:dyDescent="0.35">
      <c r="A28" s="27" t="s">
        <v>75</v>
      </c>
      <c r="B28" s="9"/>
      <c r="C28" s="61"/>
      <c r="D28" s="61"/>
      <c r="E28" s="61"/>
      <c r="F28" s="61"/>
      <c r="G28" s="61"/>
      <c r="H28" s="61"/>
      <c r="I28" s="61"/>
      <c r="J28" s="61"/>
      <c r="K28" s="61"/>
      <c r="L28" s="61"/>
      <c r="M28" s="61"/>
      <c r="N28" s="62"/>
      <c r="O28" s="62"/>
      <c r="P28" s="62"/>
      <c r="Q28" s="62"/>
    </row>
    <row r="29" spans="1:121" ht="27.75" customHeight="1" x14ac:dyDescent="0.35">
      <c r="A29" s="26" t="s">
        <v>132</v>
      </c>
      <c r="B29" s="8" t="s">
        <v>39</v>
      </c>
      <c r="C29" s="8"/>
      <c r="D29" s="8"/>
      <c r="E29" s="10"/>
      <c r="F29" s="151" t="s">
        <v>40</v>
      </c>
      <c r="G29" s="151" t="s">
        <v>40</v>
      </c>
      <c r="H29" s="151" t="s">
        <v>40</v>
      </c>
      <c r="I29" s="151" t="s">
        <v>40</v>
      </c>
      <c r="J29" s="151" t="s">
        <v>40</v>
      </c>
      <c r="K29" s="151" t="s">
        <v>40</v>
      </c>
      <c r="L29" s="151" t="s">
        <v>40</v>
      </c>
      <c r="M29" s="151" t="s">
        <v>40</v>
      </c>
      <c r="N29" s="151" t="s">
        <v>71</v>
      </c>
      <c r="O29" s="7"/>
      <c r="P29" s="7"/>
      <c r="Q29" s="7"/>
    </row>
    <row r="30" spans="1:121" ht="26.25" customHeight="1" x14ac:dyDescent="0.35">
      <c r="A30" s="26" t="s">
        <v>133</v>
      </c>
      <c r="B30" s="8" t="s">
        <v>39</v>
      </c>
      <c r="C30" s="8"/>
      <c r="D30" s="8"/>
      <c r="E30" s="10"/>
      <c r="F30" s="7"/>
      <c r="G30" s="7"/>
      <c r="H30" s="7"/>
      <c r="I30" s="151" t="s">
        <v>91</v>
      </c>
      <c r="J30" s="151" t="s">
        <v>40</v>
      </c>
      <c r="K30" s="151" t="s">
        <v>40</v>
      </c>
      <c r="L30" s="151" t="s">
        <v>40</v>
      </c>
      <c r="M30" s="151" t="s">
        <v>40</v>
      </c>
      <c r="N30" s="151" t="s">
        <v>71</v>
      </c>
      <c r="O30" s="7"/>
      <c r="P30" s="7"/>
      <c r="Q30" s="7"/>
    </row>
    <row r="31" spans="1:121" ht="25.5" customHeight="1" x14ac:dyDescent="0.35">
      <c r="A31" s="26" t="s">
        <v>134</v>
      </c>
      <c r="B31" s="8" t="s">
        <v>39</v>
      </c>
      <c r="C31" s="8"/>
      <c r="D31" s="8"/>
      <c r="E31" s="10"/>
      <c r="F31" s="7"/>
      <c r="G31" s="7"/>
      <c r="H31" s="7"/>
      <c r="I31" s="7"/>
      <c r="J31" s="7"/>
      <c r="K31" s="7"/>
      <c r="L31" s="151" t="s">
        <v>92</v>
      </c>
      <c r="M31" s="151" t="s">
        <v>40</v>
      </c>
      <c r="N31" s="151" t="s">
        <v>71</v>
      </c>
      <c r="O31" s="7"/>
      <c r="P31" s="7"/>
      <c r="Q31" s="7"/>
    </row>
    <row r="32" spans="1:121" ht="41.25" customHeight="1" x14ac:dyDescent="0.35">
      <c r="A32" s="63" t="s">
        <v>290</v>
      </c>
      <c r="B32" s="7" t="s">
        <v>73</v>
      </c>
      <c r="C32" s="8"/>
      <c r="D32" s="8"/>
      <c r="E32" s="7"/>
      <c r="F32" s="197" t="s">
        <v>74</v>
      </c>
      <c r="G32" s="260" t="s">
        <v>291</v>
      </c>
      <c r="H32" s="260"/>
      <c r="I32" s="260"/>
      <c r="J32" s="260"/>
      <c r="K32" s="260"/>
      <c r="L32" s="260"/>
      <c r="M32" s="260"/>
      <c r="N32" s="261"/>
      <c r="O32" s="97"/>
      <c r="P32" s="7"/>
      <c r="Q32" s="7"/>
    </row>
    <row r="33" spans="1:17" ht="36" customHeight="1" x14ac:dyDescent="0.35">
      <c r="A33" s="84" t="s">
        <v>292</v>
      </c>
      <c r="B33" s="7" t="s">
        <v>73</v>
      </c>
      <c r="C33" s="8"/>
      <c r="D33" s="8"/>
      <c r="E33" s="7"/>
      <c r="F33" s="196" t="s">
        <v>74</v>
      </c>
      <c r="G33" s="262" t="s">
        <v>291</v>
      </c>
      <c r="H33" s="262"/>
      <c r="I33" s="262"/>
      <c r="J33" s="262"/>
      <c r="K33" s="262"/>
      <c r="L33" s="262"/>
      <c r="M33" s="262"/>
      <c r="N33" s="263"/>
      <c r="O33" s="97"/>
      <c r="P33" s="7"/>
      <c r="Q33" s="7"/>
    </row>
    <row r="34" spans="1:17" ht="25.5" customHeight="1" x14ac:dyDescent="0.35">
      <c r="A34" s="25" t="s">
        <v>65</v>
      </c>
      <c r="B34" s="7" t="s">
        <v>26</v>
      </c>
      <c r="C34" s="189" t="s">
        <v>61</v>
      </c>
      <c r="D34" s="188" t="s">
        <v>40</v>
      </c>
      <c r="E34" s="188"/>
      <c r="F34" s="96"/>
      <c r="G34" s="43"/>
      <c r="H34" s="10" t="s">
        <v>237</v>
      </c>
      <c r="I34" s="11"/>
      <c r="J34" s="7"/>
      <c r="K34" s="179" t="s">
        <v>228</v>
      </c>
      <c r="L34" s="10"/>
      <c r="M34" s="7"/>
      <c r="N34" s="179" t="s">
        <v>234</v>
      </c>
      <c r="O34" s="7"/>
      <c r="P34" s="10" t="s">
        <v>156</v>
      </c>
      <c r="Q34" s="7"/>
    </row>
    <row r="35" spans="1:17" ht="25.5" customHeight="1" x14ac:dyDescent="0.35">
      <c r="A35" s="25" t="s">
        <v>6</v>
      </c>
      <c r="B35" s="7" t="s">
        <v>26</v>
      </c>
      <c r="C35" s="188" t="s">
        <v>40</v>
      </c>
      <c r="D35" s="188"/>
      <c r="E35" s="191" t="s">
        <v>206</v>
      </c>
      <c r="F35" s="11"/>
      <c r="G35" s="11"/>
      <c r="H35" s="11"/>
      <c r="I35" s="11" t="s">
        <v>40</v>
      </c>
      <c r="J35" s="11"/>
      <c r="K35" s="11"/>
      <c r="L35" s="11" t="s">
        <v>40</v>
      </c>
      <c r="M35" s="11"/>
      <c r="N35" s="179" t="s">
        <v>234</v>
      </c>
      <c r="O35" s="11"/>
      <c r="P35" s="7" t="s">
        <v>156</v>
      </c>
      <c r="Q35" s="11"/>
    </row>
    <row r="36" spans="1:17" ht="30.75" customHeight="1" x14ac:dyDescent="0.35">
      <c r="A36" s="25" t="s">
        <v>143</v>
      </c>
      <c r="B36" s="7" t="s">
        <v>26</v>
      </c>
      <c r="C36" s="188"/>
      <c r="D36" s="190"/>
      <c r="E36" s="190" t="s">
        <v>40</v>
      </c>
      <c r="F36" s="199" t="s">
        <v>153</v>
      </c>
      <c r="G36" s="200"/>
      <c r="H36" s="201"/>
      <c r="I36" s="199" t="s">
        <v>153</v>
      </c>
      <c r="J36" s="200"/>
      <c r="K36" s="201"/>
      <c r="L36" s="199" t="s">
        <v>153</v>
      </c>
      <c r="M36" s="200"/>
      <c r="N36" s="179" t="s">
        <v>234</v>
      </c>
      <c r="O36" s="11" t="s">
        <v>40</v>
      </c>
      <c r="P36" s="11"/>
      <c r="Q36" s="11"/>
    </row>
    <row r="37" spans="1:17" ht="24.75" customHeight="1" x14ac:dyDescent="0.35">
      <c r="A37" s="181" t="s">
        <v>240</v>
      </c>
      <c r="B37" s="7" t="s">
        <v>26</v>
      </c>
      <c r="C37" s="7"/>
      <c r="D37" s="7"/>
      <c r="E37" s="7"/>
      <c r="F37" s="11"/>
      <c r="G37" s="11"/>
      <c r="H37" s="11"/>
      <c r="I37" s="11"/>
      <c r="J37" s="11"/>
      <c r="K37" s="7" t="s">
        <v>155</v>
      </c>
      <c r="L37" s="10"/>
      <c r="M37" s="11"/>
      <c r="N37" s="179" t="s">
        <v>262</v>
      </c>
      <c r="O37" s="7"/>
      <c r="P37" s="11" t="s">
        <v>236</v>
      </c>
      <c r="Q37" s="180" t="s">
        <v>236</v>
      </c>
    </row>
    <row r="38" spans="1:17" s="4" customFormat="1" ht="19.5" customHeight="1" x14ac:dyDescent="0.4">
      <c r="A38" s="259" t="s">
        <v>226</v>
      </c>
      <c r="B38" s="259"/>
      <c r="C38" s="259"/>
      <c r="D38" s="259"/>
      <c r="E38" s="259"/>
      <c r="F38" s="259"/>
      <c r="G38" s="259"/>
      <c r="H38" s="259"/>
      <c r="I38" s="259"/>
      <c r="J38" s="259"/>
      <c r="K38" s="259"/>
    </row>
    <row r="39" spans="1:17" s="4" customFormat="1" ht="20.25" customHeight="1" x14ac:dyDescent="0.4">
      <c r="A39" s="218" t="s">
        <v>261</v>
      </c>
      <c r="B39" s="218"/>
      <c r="C39" s="218"/>
      <c r="D39" s="218"/>
      <c r="E39" s="218"/>
      <c r="F39" s="218"/>
      <c r="G39" s="218"/>
      <c r="H39" s="218"/>
      <c r="I39" s="218"/>
      <c r="J39" s="218"/>
      <c r="K39" s="218"/>
    </row>
    <row r="40" spans="1:17" s="4" customFormat="1" ht="18.75" customHeight="1" x14ac:dyDescent="0.4">
      <c r="A40" s="218" t="s">
        <v>229</v>
      </c>
      <c r="B40" s="218"/>
      <c r="C40" s="218"/>
      <c r="D40" s="218"/>
      <c r="E40" s="218"/>
      <c r="F40" s="218"/>
      <c r="G40" s="218"/>
      <c r="H40" s="218"/>
      <c r="I40" s="218"/>
      <c r="J40" s="218"/>
      <c r="K40" s="218"/>
    </row>
    <row r="41" spans="1:17" ht="21.75" customHeight="1" x14ac:dyDescent="0.35">
      <c r="A41" s="218" t="s">
        <v>231</v>
      </c>
      <c r="B41" s="218"/>
      <c r="C41" s="218"/>
      <c r="D41" s="218"/>
      <c r="E41" s="218"/>
      <c r="F41" s="218"/>
      <c r="G41" s="218"/>
      <c r="H41" s="218"/>
      <c r="I41" s="218"/>
      <c r="J41" s="218"/>
      <c r="K41" s="218"/>
    </row>
    <row r="42" spans="1:17" ht="20.25" customHeight="1" x14ac:dyDescent="0.35">
      <c r="A42" s="218" t="s">
        <v>232</v>
      </c>
      <c r="B42" s="218"/>
      <c r="C42" s="218"/>
      <c r="D42" s="218"/>
      <c r="E42" s="218"/>
      <c r="F42" s="218"/>
      <c r="G42" s="218"/>
      <c r="H42" s="218"/>
      <c r="I42" s="218"/>
      <c r="J42" s="218"/>
      <c r="K42" s="218"/>
    </row>
    <row r="43" spans="1:17" ht="18.75" customHeight="1" x14ac:dyDescent="0.35">
      <c r="A43" s="232" t="s">
        <v>233</v>
      </c>
      <c r="B43" s="232"/>
      <c r="C43" s="232"/>
      <c r="D43" s="232"/>
      <c r="E43" s="232"/>
      <c r="F43" s="232"/>
      <c r="G43" s="232"/>
      <c r="H43" s="232"/>
      <c r="I43" s="232"/>
      <c r="J43" s="232"/>
      <c r="K43" s="232"/>
    </row>
    <row r="44" spans="1:17" ht="19.5" customHeight="1" x14ac:dyDescent="0.35">
      <c r="A44" s="218" t="s">
        <v>230</v>
      </c>
      <c r="B44" s="218"/>
      <c r="C44" s="218"/>
      <c r="D44" s="218"/>
      <c r="E44" s="218"/>
      <c r="F44" s="218"/>
      <c r="G44" s="218"/>
      <c r="H44" s="218"/>
      <c r="I44" s="218"/>
      <c r="J44" s="218"/>
      <c r="K44" s="218"/>
    </row>
    <row r="45" spans="1:17" ht="21.75" customHeight="1" x14ac:dyDescent="0.35">
      <c r="A45" s="218" t="s">
        <v>241</v>
      </c>
      <c r="B45" s="218"/>
      <c r="C45" s="218"/>
      <c r="D45" s="218"/>
      <c r="E45" s="218"/>
      <c r="F45" s="218"/>
      <c r="G45" s="218"/>
      <c r="H45" s="218"/>
      <c r="I45" s="218"/>
      <c r="J45" s="218"/>
      <c r="K45" s="218"/>
    </row>
    <row r="46" spans="1:17" ht="19.5" customHeight="1" x14ac:dyDescent="0.35">
      <c r="A46" s="218" t="s">
        <v>242</v>
      </c>
      <c r="B46" s="218"/>
      <c r="C46" s="218"/>
      <c r="D46" s="218"/>
      <c r="E46" s="218"/>
      <c r="F46" s="218"/>
      <c r="G46" s="218"/>
      <c r="H46" s="218"/>
      <c r="I46" s="218"/>
      <c r="J46" s="218"/>
      <c r="K46" s="218"/>
    </row>
    <row r="47" spans="1:17" ht="21.75" customHeight="1" x14ac:dyDescent="0.35">
      <c r="A47" s="31" t="s">
        <v>293</v>
      </c>
      <c r="B47" s="31"/>
      <c r="C47" s="31"/>
      <c r="D47" s="31"/>
      <c r="E47" s="31"/>
      <c r="F47" s="31"/>
      <c r="G47" s="31"/>
    </row>
    <row r="48" spans="1:17" ht="21.75" customHeight="1" x14ac:dyDescent="0.35">
      <c r="A48" s="31"/>
      <c r="B48" s="31"/>
      <c r="C48" s="31"/>
      <c r="D48" s="31"/>
      <c r="E48" s="31"/>
      <c r="F48" s="31"/>
      <c r="G48" s="32"/>
    </row>
    <row r="49" spans="1:15" ht="25.5" customHeight="1" x14ac:dyDescent="0.35">
      <c r="A49" s="30"/>
      <c r="B49" s="49"/>
      <c r="C49" s="49"/>
      <c r="D49" s="86"/>
      <c r="E49" s="49"/>
      <c r="F49" s="49"/>
      <c r="G49" s="49"/>
    </row>
    <row r="50" spans="1:15" ht="15.75" customHeight="1" x14ac:dyDescent="0.35">
      <c r="A50" s="15"/>
      <c r="B50" s="15"/>
      <c r="C50" s="15"/>
      <c r="D50" s="15"/>
      <c r="E50" s="15"/>
      <c r="F50" s="15"/>
      <c r="G50" s="15"/>
    </row>
    <row r="51" spans="1:15" ht="23.25" customHeight="1" x14ac:dyDescent="0.35">
      <c r="A51" s="15"/>
      <c r="B51" s="15"/>
      <c r="C51" s="15"/>
      <c r="D51" s="15"/>
      <c r="E51" s="15"/>
      <c r="F51" s="15"/>
      <c r="G51" s="15"/>
    </row>
    <row r="52" spans="1:15" ht="21" customHeight="1" x14ac:dyDescent="0.35">
      <c r="A52" s="15"/>
      <c r="B52" s="16"/>
      <c r="C52" s="16"/>
      <c r="D52" s="16"/>
      <c r="E52" s="16"/>
      <c r="F52" s="16"/>
      <c r="G52" s="16"/>
    </row>
    <row r="53" spans="1:15" ht="20.25" customHeight="1" x14ac:dyDescent="0.35">
      <c r="A53" s="15"/>
      <c r="B53" s="15"/>
      <c r="C53" s="15"/>
      <c r="D53" s="15"/>
      <c r="E53" s="15"/>
      <c r="F53" s="15"/>
      <c r="G53" s="15"/>
    </row>
    <row r="54" spans="1:15" ht="20.25" customHeight="1" x14ac:dyDescent="0.35">
      <c r="A54" s="209"/>
      <c r="B54" s="209"/>
      <c r="C54" s="209"/>
      <c r="D54" s="209"/>
      <c r="E54" s="209"/>
      <c r="F54" s="209"/>
      <c r="G54" s="209"/>
      <c r="H54" s="209"/>
      <c r="I54" s="209"/>
      <c r="J54" s="209"/>
      <c r="K54" s="209"/>
      <c r="L54" s="49"/>
      <c r="M54" s="49"/>
      <c r="N54" s="49"/>
      <c r="O54" s="95"/>
    </row>
    <row r="55" spans="1:15" x14ac:dyDescent="0.35">
      <c r="A55" s="49"/>
    </row>
    <row r="56" spans="1:15" x14ac:dyDescent="0.35">
      <c r="A56" s="49"/>
    </row>
    <row r="57" spans="1:15" x14ac:dyDescent="0.35">
      <c r="A57" s="49"/>
    </row>
    <row r="58" spans="1:15" x14ac:dyDescent="0.35">
      <c r="A58" s="49"/>
    </row>
    <row r="59" spans="1:15" x14ac:dyDescent="0.35">
      <c r="A59" s="49"/>
    </row>
    <row r="60" spans="1:15" x14ac:dyDescent="0.35">
      <c r="A60" s="49"/>
    </row>
    <row r="61" spans="1:15" x14ac:dyDescent="0.35">
      <c r="A61" s="49"/>
    </row>
    <row r="62" spans="1:15" x14ac:dyDescent="0.35">
      <c r="A62" s="49"/>
    </row>
    <row r="63" spans="1:15" x14ac:dyDescent="0.35">
      <c r="A63" s="49"/>
    </row>
    <row r="64" spans="1:15" x14ac:dyDescent="0.35">
      <c r="A64" s="49"/>
    </row>
  </sheetData>
  <customSheetViews>
    <customSheetView guid="{E175C034-7BBF-422C-BD22-4ED71AA8C1DA}" scale="60" fitToPage="1" hiddenRows="1">
      <pane xSplit="2" ySplit="8" topLeftCell="C28" activePane="bottomRight" state="frozen"/>
      <selection pane="bottomRight" activeCell="K48" sqref="K48"/>
      <pageMargins left="0.70866141732283472" right="0.70866141732283472" top="0.74803149606299213" bottom="0.74803149606299213" header="0.31496062992125984" footer="0.31496062992125984"/>
      <pageSetup paperSize="8" scale="59" orientation="landscape" r:id="rId1"/>
      <headerFooter alignWithMargins="0">
        <oddFooter>Side &amp;P&amp;RUV1-hTERT-MM-102 v1 02AUG16</oddFooter>
      </headerFooter>
    </customSheetView>
    <customSheetView guid="{E0FF57D7-F57B-4236-B386-D0AB0515A6B2}" scale="60" showPageBreaks="1" fitToPage="1" printArea="1" hiddenRows="1">
      <pane xSplit="2" ySplit="8" topLeftCell="C12" activePane="bottomRight" state="frozen"/>
      <selection pane="bottomRight" activeCell="A26" sqref="A26:XFD26"/>
      <pageMargins left="0.70866141732283472" right="0.70866141732283472" top="0.74803149606299213" bottom="0.74803149606299213" header="0.31496062992125984" footer="0.31496062992125984"/>
      <pageSetup paperSize="8" scale="61" orientation="landscape" r:id="rId2"/>
      <headerFooter alignWithMargins="0">
        <oddFooter>Side &amp;P&amp;RUV1-hTERT-MM-102 v1 02AUG16</oddFooter>
      </headerFooter>
    </customSheetView>
  </customSheetViews>
  <mergeCells count="43">
    <mergeCell ref="A54:K54"/>
    <mergeCell ref="A2:B2"/>
    <mergeCell ref="C4:E4"/>
    <mergeCell ref="A38:K38"/>
    <mergeCell ref="A39:K39"/>
    <mergeCell ref="A41:K41"/>
    <mergeCell ref="G32:N32"/>
    <mergeCell ref="G33:N33"/>
    <mergeCell ref="A40:K40"/>
    <mergeCell ref="L3:N3"/>
    <mergeCell ref="L4:N4"/>
    <mergeCell ref="L27:N27"/>
    <mergeCell ref="A42:K42"/>
    <mergeCell ref="L23:M23"/>
    <mergeCell ref="L24:M24"/>
    <mergeCell ref="L25:M25"/>
    <mergeCell ref="I36:K36"/>
    <mergeCell ref="F16:G16"/>
    <mergeCell ref="L16:M16"/>
    <mergeCell ref="L5:N5"/>
    <mergeCell ref="F3:H3"/>
    <mergeCell ref="F5:H5"/>
    <mergeCell ref="F4:H4"/>
    <mergeCell ref="I3:K3"/>
    <mergeCell ref="I4:K4"/>
    <mergeCell ref="I5:K5"/>
    <mergeCell ref="I16:J16"/>
    <mergeCell ref="A46:K46"/>
    <mergeCell ref="O2:Q2"/>
    <mergeCell ref="F2:N2"/>
    <mergeCell ref="A43:K43"/>
    <mergeCell ref="A44:K44"/>
    <mergeCell ref="A45:K45"/>
    <mergeCell ref="F23:H23"/>
    <mergeCell ref="I23:K23"/>
    <mergeCell ref="F24:H24"/>
    <mergeCell ref="I24:K24"/>
    <mergeCell ref="F27:H27"/>
    <mergeCell ref="I27:K27"/>
    <mergeCell ref="L36:M36"/>
    <mergeCell ref="F25:H25"/>
    <mergeCell ref="I25:K25"/>
    <mergeCell ref="F36:H36"/>
  </mergeCells>
  <pageMargins left="0.70866141732283472" right="0.70866141732283472" top="0.74803149606299213" bottom="0.74803149606299213" header="0.31496062992125984" footer="0.31496062992125984"/>
  <pageSetup paperSize="8" scale="60" orientation="landscape" r:id="rId3"/>
  <headerFooter alignWithMargins="0">
    <oddFooter>Side &amp;P&amp;RUV1-hTERT-MM-102 v1 02AUG16</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D46"/>
  <sheetViews>
    <sheetView workbookViewId="0">
      <selection activeCell="A5" sqref="A5"/>
    </sheetView>
  </sheetViews>
  <sheetFormatPr baseColWidth="10" defaultRowHeight="12.75" x14ac:dyDescent="0.2"/>
  <cols>
    <col min="1" max="1" width="30.28515625" customWidth="1"/>
    <col min="2" max="2" width="14.42578125" customWidth="1"/>
    <col min="3" max="3" width="15.140625" customWidth="1"/>
    <col min="4" max="4" width="14" customWidth="1"/>
  </cols>
  <sheetData>
    <row r="1" spans="1:4" ht="23.25" x14ac:dyDescent="0.35">
      <c r="A1" s="101" t="s">
        <v>78</v>
      </c>
    </row>
    <row r="2" spans="1:4" ht="23.25" x14ac:dyDescent="0.35">
      <c r="A2" s="101" t="s">
        <v>81</v>
      </c>
    </row>
    <row r="3" spans="1:4" ht="14.25" customHeight="1" x14ac:dyDescent="0.35">
      <c r="A3" s="101"/>
    </row>
    <row r="4" spans="1:4" ht="18" x14ac:dyDescent="0.25">
      <c r="A4" s="109" t="s">
        <v>83</v>
      </c>
      <c r="B4" s="110"/>
      <c r="C4" s="110"/>
      <c r="D4" s="110"/>
    </row>
    <row r="5" spans="1:4" ht="30" customHeight="1" x14ac:dyDescent="0.2">
      <c r="A5" s="103" t="s">
        <v>135</v>
      </c>
      <c r="B5" s="103" t="s">
        <v>88</v>
      </c>
      <c r="C5" s="103" t="s">
        <v>89</v>
      </c>
      <c r="D5" s="103" t="s">
        <v>90</v>
      </c>
    </row>
    <row r="6" spans="1:4" ht="15" customHeight="1" x14ac:dyDescent="0.2">
      <c r="A6" s="113" t="s">
        <v>100</v>
      </c>
      <c r="B6" s="114" t="s">
        <v>109</v>
      </c>
      <c r="C6" s="114"/>
      <c r="D6" s="114" t="s">
        <v>115</v>
      </c>
    </row>
    <row r="7" spans="1:4" ht="15" customHeight="1" x14ac:dyDescent="0.2">
      <c r="A7" s="113" t="s">
        <v>80</v>
      </c>
      <c r="B7" s="114" t="s">
        <v>110</v>
      </c>
      <c r="C7" s="114"/>
      <c r="D7" s="114" t="s">
        <v>116</v>
      </c>
    </row>
    <row r="8" spans="1:4" ht="15" customHeight="1" x14ac:dyDescent="0.2">
      <c r="A8" s="113" t="s">
        <v>79</v>
      </c>
      <c r="B8" s="114" t="s">
        <v>111</v>
      </c>
      <c r="C8" s="114"/>
      <c r="D8" s="114" t="s">
        <v>117</v>
      </c>
    </row>
    <row r="9" spans="1:4" ht="15" customHeight="1" x14ac:dyDescent="0.2">
      <c r="A9" s="113" t="s">
        <v>124</v>
      </c>
      <c r="B9" s="114"/>
      <c r="C9" s="114" t="s">
        <v>112</v>
      </c>
      <c r="D9" s="114"/>
    </row>
    <row r="10" spans="1:4" ht="15" customHeight="1" x14ac:dyDescent="0.2">
      <c r="A10" s="113" t="s">
        <v>125</v>
      </c>
      <c r="B10" s="114"/>
      <c r="C10" s="114" t="s">
        <v>113</v>
      </c>
      <c r="D10" s="114"/>
    </row>
    <row r="11" spans="1:4" ht="15" customHeight="1" x14ac:dyDescent="0.2">
      <c r="A11" s="113" t="s">
        <v>126</v>
      </c>
      <c r="B11" s="114"/>
      <c r="C11" s="114" t="s">
        <v>114</v>
      </c>
      <c r="D11" s="114"/>
    </row>
    <row r="12" spans="1:4" x14ac:dyDescent="0.2">
      <c r="A12" s="41"/>
      <c r="B12" s="100"/>
      <c r="C12" s="100"/>
      <c r="D12" s="100"/>
    </row>
    <row r="13" spans="1:4" ht="18" x14ac:dyDescent="0.25">
      <c r="A13" s="107" t="s">
        <v>82</v>
      </c>
      <c r="B13" s="108"/>
      <c r="C13" s="108"/>
      <c r="D13" s="108"/>
    </row>
    <row r="14" spans="1:4" ht="28.5" customHeight="1" x14ac:dyDescent="0.2">
      <c r="A14" s="103" t="s">
        <v>108</v>
      </c>
      <c r="B14" s="103" t="s">
        <v>88</v>
      </c>
      <c r="C14" s="103" t="s">
        <v>89</v>
      </c>
      <c r="D14" s="103" t="s">
        <v>90</v>
      </c>
    </row>
    <row r="15" spans="1:4" ht="15" customHeight="1" x14ac:dyDescent="0.2">
      <c r="A15" s="113" t="s">
        <v>100</v>
      </c>
      <c r="B15" s="114" t="s">
        <v>98</v>
      </c>
      <c r="C15" s="114"/>
      <c r="D15" s="114" t="s">
        <v>99</v>
      </c>
    </row>
    <row r="16" spans="1:4" ht="15" customHeight="1" x14ac:dyDescent="0.2">
      <c r="A16" s="113" t="s">
        <v>80</v>
      </c>
      <c r="B16" s="114" t="s">
        <v>102</v>
      </c>
      <c r="C16" s="114"/>
      <c r="D16" s="114" t="s">
        <v>101</v>
      </c>
    </row>
    <row r="17" spans="1:4" ht="15" customHeight="1" x14ac:dyDescent="0.2">
      <c r="A17" s="113" t="s">
        <v>79</v>
      </c>
      <c r="B17" s="114" t="s">
        <v>103</v>
      </c>
      <c r="C17" s="114"/>
      <c r="D17" s="114" t="s">
        <v>104</v>
      </c>
    </row>
    <row r="18" spans="1:4" ht="15" customHeight="1" x14ac:dyDescent="0.2">
      <c r="A18" s="113" t="s">
        <v>127</v>
      </c>
      <c r="B18" s="114"/>
      <c r="C18" s="114" t="s">
        <v>105</v>
      </c>
      <c r="D18" s="114"/>
    </row>
    <row r="19" spans="1:4" ht="15" customHeight="1" x14ac:dyDescent="0.2">
      <c r="A19" s="113" t="s">
        <v>128</v>
      </c>
      <c r="B19" s="114"/>
      <c r="C19" s="114" t="s">
        <v>106</v>
      </c>
      <c r="D19" s="114"/>
    </row>
    <row r="20" spans="1:4" ht="15" customHeight="1" x14ac:dyDescent="0.2">
      <c r="A20" s="113" t="s">
        <v>129</v>
      </c>
      <c r="B20" s="114"/>
      <c r="C20" s="114" t="s">
        <v>107</v>
      </c>
      <c r="D20" s="114"/>
    </row>
    <row r="21" spans="1:4" x14ac:dyDescent="0.2">
      <c r="B21" s="99"/>
      <c r="C21" s="99"/>
      <c r="D21" s="99"/>
    </row>
    <row r="22" spans="1:4" ht="18" x14ac:dyDescent="0.25">
      <c r="A22" s="105" t="s">
        <v>84</v>
      </c>
      <c r="B22" s="106"/>
      <c r="C22" s="106"/>
      <c r="D22" s="106"/>
    </row>
    <row r="23" spans="1:4" ht="25.5" x14ac:dyDescent="0.2">
      <c r="A23" s="103" t="s">
        <v>108</v>
      </c>
      <c r="B23" s="103" t="s">
        <v>88</v>
      </c>
      <c r="C23" s="103" t="s">
        <v>89</v>
      </c>
      <c r="D23" s="103" t="s">
        <v>90</v>
      </c>
    </row>
    <row r="24" spans="1:4" x14ac:dyDescent="0.2">
      <c r="A24" s="102" t="s">
        <v>85</v>
      </c>
      <c r="B24" s="104"/>
      <c r="C24" s="104" t="s">
        <v>118</v>
      </c>
      <c r="D24" s="104"/>
    </row>
    <row r="25" spans="1:4" x14ac:dyDescent="0.2">
      <c r="A25" s="102" t="s">
        <v>86</v>
      </c>
      <c r="B25" s="104"/>
      <c r="C25" s="104" t="s">
        <v>119</v>
      </c>
      <c r="D25" s="104"/>
    </row>
    <row r="26" spans="1:4" x14ac:dyDescent="0.2">
      <c r="A26" s="102" t="s">
        <v>87</v>
      </c>
      <c r="B26" s="104"/>
      <c r="C26" s="104" t="s">
        <v>120</v>
      </c>
      <c r="D26" s="104"/>
    </row>
    <row r="27" spans="1:4" x14ac:dyDescent="0.2">
      <c r="B27" s="99"/>
      <c r="C27" s="99"/>
      <c r="D27" s="99"/>
    </row>
    <row r="28" spans="1:4" x14ac:dyDescent="0.2">
      <c r="B28" s="99"/>
      <c r="C28" s="99"/>
      <c r="D28" s="99"/>
    </row>
    <row r="29" spans="1:4" x14ac:dyDescent="0.2">
      <c r="B29" s="99"/>
      <c r="C29" s="99"/>
      <c r="D29" s="99"/>
    </row>
    <row r="30" spans="1:4" x14ac:dyDescent="0.2">
      <c r="B30" s="99"/>
      <c r="C30" s="99"/>
      <c r="D30" s="99"/>
    </row>
    <row r="31" spans="1:4" x14ac:dyDescent="0.2">
      <c r="B31" s="99"/>
      <c r="C31" s="99"/>
      <c r="D31" s="99"/>
    </row>
    <row r="32" spans="1:4" x14ac:dyDescent="0.2">
      <c r="B32" s="99"/>
      <c r="C32" s="99"/>
      <c r="D32" s="99"/>
    </row>
    <row r="33" spans="2:4" x14ac:dyDescent="0.2">
      <c r="B33" s="99"/>
      <c r="C33" s="99"/>
      <c r="D33" s="99"/>
    </row>
    <row r="34" spans="2:4" x14ac:dyDescent="0.2">
      <c r="B34" s="99"/>
      <c r="C34" s="99"/>
      <c r="D34" s="99"/>
    </row>
    <row r="35" spans="2:4" x14ac:dyDescent="0.2">
      <c r="B35" s="99"/>
      <c r="C35" s="99"/>
      <c r="D35" s="99"/>
    </row>
    <row r="36" spans="2:4" x14ac:dyDescent="0.2">
      <c r="B36" s="99"/>
      <c r="C36" s="99"/>
      <c r="D36" s="99"/>
    </row>
    <row r="37" spans="2:4" x14ac:dyDescent="0.2">
      <c r="B37" s="99"/>
      <c r="C37" s="99"/>
      <c r="D37" s="99"/>
    </row>
    <row r="38" spans="2:4" x14ac:dyDescent="0.2">
      <c r="B38" s="99"/>
      <c r="C38" s="99"/>
      <c r="D38" s="99"/>
    </row>
    <row r="39" spans="2:4" x14ac:dyDescent="0.2">
      <c r="B39" s="99"/>
      <c r="C39" s="99"/>
      <c r="D39" s="99"/>
    </row>
    <row r="40" spans="2:4" x14ac:dyDescent="0.2">
      <c r="B40" s="99"/>
      <c r="C40" s="99"/>
      <c r="D40" s="99"/>
    </row>
    <row r="41" spans="2:4" x14ac:dyDescent="0.2">
      <c r="B41" s="99"/>
      <c r="C41" s="99"/>
      <c r="D41" s="99"/>
    </row>
    <row r="42" spans="2:4" x14ac:dyDescent="0.2">
      <c r="B42" s="99"/>
      <c r="C42" s="99"/>
      <c r="D42" s="99"/>
    </row>
    <row r="43" spans="2:4" x14ac:dyDescent="0.2">
      <c r="B43" s="99"/>
      <c r="C43" s="99"/>
      <c r="D43" s="99"/>
    </row>
    <row r="44" spans="2:4" x14ac:dyDescent="0.2">
      <c r="B44" s="99"/>
      <c r="C44" s="99"/>
      <c r="D44" s="99"/>
    </row>
    <row r="45" spans="2:4" x14ac:dyDescent="0.2">
      <c r="B45" s="99"/>
      <c r="C45" s="99"/>
      <c r="D45" s="99"/>
    </row>
    <row r="46" spans="2:4" x14ac:dyDescent="0.2">
      <c r="B46" s="99"/>
      <c r="C46" s="99"/>
      <c r="D46" s="99"/>
    </row>
  </sheetData>
  <customSheetViews>
    <customSheetView guid="{E175C034-7BBF-422C-BD22-4ED71AA8C1DA}">
      <selection activeCell="F14" sqref="F14"/>
      <pageMargins left="0.7" right="0.7" top="0.75" bottom="0.75" header="0.3" footer="0.3"/>
      <pageSetup paperSize="9" orientation="portrait" r:id="rId1"/>
    </customSheetView>
    <customSheetView guid="{E0FF57D7-F57B-4236-B386-D0AB0515A6B2}">
      <selection activeCell="A37" sqref="A37"/>
      <pageMargins left="0.7" right="0.7" top="0.75" bottom="0.75" header="0.3" footer="0.3"/>
      <pageSetup paperSize="9" orientation="portrait" r:id="rId2"/>
    </customSheetView>
  </customSheetView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7"/>
  <sheetViews>
    <sheetView workbookViewId="0">
      <selection activeCell="C36" sqref="C36"/>
    </sheetView>
  </sheetViews>
  <sheetFormatPr baseColWidth="10" defaultRowHeight="12.75" x14ac:dyDescent="0.2"/>
  <cols>
    <col min="1" max="1" width="39.28515625" customWidth="1"/>
    <col min="2" max="2" width="55.42578125" customWidth="1"/>
    <col min="3" max="3" width="44.28515625" customWidth="1"/>
  </cols>
  <sheetData>
    <row r="3" spans="1:3" x14ac:dyDescent="0.2">
      <c r="A3" s="42" t="s">
        <v>19</v>
      </c>
      <c r="B3" s="42" t="s">
        <v>21</v>
      </c>
      <c r="C3" s="42" t="s">
        <v>20</v>
      </c>
    </row>
    <row r="4" spans="1:3" x14ac:dyDescent="0.2">
      <c r="A4" s="41" t="s">
        <v>22</v>
      </c>
      <c r="B4" s="41" t="s">
        <v>25</v>
      </c>
      <c r="C4" s="41" t="s">
        <v>23</v>
      </c>
    </row>
    <row r="5" spans="1:3" x14ac:dyDescent="0.2">
      <c r="A5" s="41" t="s">
        <v>24</v>
      </c>
      <c r="B5" s="41" t="s">
        <v>25</v>
      </c>
      <c r="C5" s="41" t="s">
        <v>23</v>
      </c>
    </row>
    <row r="14" spans="1:3" x14ac:dyDescent="0.2">
      <c r="A14" s="44" t="s">
        <v>30</v>
      </c>
      <c r="B14" s="45"/>
      <c r="C14" s="44" t="s">
        <v>35</v>
      </c>
    </row>
    <row r="15" spans="1:3" x14ac:dyDescent="0.2">
      <c r="A15" t="s">
        <v>32</v>
      </c>
      <c r="B15" t="s">
        <v>31</v>
      </c>
      <c r="C15" s="41" t="s">
        <v>36</v>
      </c>
    </row>
    <row r="16" spans="1:3" x14ac:dyDescent="0.2">
      <c r="A16" t="s">
        <v>32</v>
      </c>
      <c r="B16" t="s">
        <v>33</v>
      </c>
      <c r="C16" s="41" t="s">
        <v>38</v>
      </c>
    </row>
    <row r="17" spans="1:3" x14ac:dyDescent="0.2">
      <c r="A17" t="s">
        <v>32</v>
      </c>
      <c r="B17" t="s">
        <v>34</v>
      </c>
      <c r="C17" s="41" t="s">
        <v>37</v>
      </c>
    </row>
  </sheetData>
  <customSheetViews>
    <customSheetView guid="{E175C034-7BBF-422C-BD22-4ED71AA8C1DA}">
      <selection activeCell="C36" sqref="C36"/>
      <pageMargins left="0.7" right="0.7" top="0.75" bottom="0.75" header="0.3" footer="0.3"/>
      <pageSetup paperSize="9" orientation="portrait" r:id="rId1"/>
    </customSheetView>
    <customSheetView guid="{E0FF57D7-F57B-4236-B386-D0AB0515A6B2}">
      <selection activeCell="C36" sqref="C36"/>
      <pageMargins left="0.7" right="0.7" top="0.75" bottom="0.75" header="0.3" footer="0.3"/>
      <pageSetup paperSize="9" orientation="portrait" r:id="rId2"/>
    </customSheetView>
  </customSheetView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10"/>
  <sheetViews>
    <sheetView workbookViewId="0">
      <selection activeCell="A4" sqref="A4:D10"/>
    </sheetView>
  </sheetViews>
  <sheetFormatPr baseColWidth="10" defaultRowHeight="12.75" x14ac:dyDescent="0.2"/>
  <cols>
    <col min="1" max="1" width="35.140625" customWidth="1"/>
    <col min="2" max="2" width="14.42578125" customWidth="1"/>
    <col min="3" max="3" width="14.85546875" customWidth="1"/>
    <col min="4" max="4" width="15.42578125" customWidth="1"/>
  </cols>
  <sheetData>
    <row r="4" spans="1:4" ht="95.25" customHeight="1" x14ac:dyDescent="0.2">
      <c r="A4" s="51" t="s">
        <v>54</v>
      </c>
      <c r="B4" s="29" t="s">
        <v>0</v>
      </c>
      <c r="C4" s="29" t="s">
        <v>136</v>
      </c>
      <c r="D4" s="29" t="s">
        <v>42</v>
      </c>
    </row>
    <row r="5" spans="1:4" ht="20.25" x14ac:dyDescent="0.2">
      <c r="A5" s="52" t="s">
        <v>8</v>
      </c>
      <c r="B5" s="12"/>
      <c r="C5" s="12"/>
      <c r="D5" s="12"/>
    </row>
    <row r="6" spans="1:4" ht="20.25" x14ac:dyDescent="0.2">
      <c r="A6" s="53" t="s">
        <v>9</v>
      </c>
      <c r="B6" s="58"/>
      <c r="C6" s="58"/>
      <c r="D6" s="58"/>
    </row>
    <row r="7" spans="1:4" ht="20.25" x14ac:dyDescent="0.2">
      <c r="A7" s="39" t="s">
        <v>77</v>
      </c>
      <c r="B7" s="37"/>
      <c r="C7" s="37"/>
      <c r="D7" s="60"/>
    </row>
    <row r="8" spans="1:4" ht="20.25" x14ac:dyDescent="0.2">
      <c r="A8" s="117" t="s">
        <v>43</v>
      </c>
      <c r="B8" s="118" t="s">
        <v>40</v>
      </c>
      <c r="C8" s="118"/>
      <c r="D8" s="116"/>
    </row>
    <row r="9" spans="1:4" ht="20.25" x14ac:dyDescent="0.2">
      <c r="A9" s="117" t="s">
        <v>44</v>
      </c>
      <c r="B9" s="118" t="s">
        <v>40</v>
      </c>
      <c r="C9" s="118"/>
      <c r="D9" s="119" t="s">
        <v>61</v>
      </c>
    </row>
    <row r="10" spans="1:4" ht="20.25" x14ac:dyDescent="0.2">
      <c r="A10" s="117" t="s">
        <v>45</v>
      </c>
      <c r="B10" s="118"/>
      <c r="C10" s="118"/>
      <c r="D10" s="116"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6</vt:i4>
      </vt:variant>
      <vt:variant>
        <vt:lpstr>Navngitte områder</vt:lpstr>
      </vt:variant>
      <vt:variant>
        <vt:i4>6</vt:i4>
      </vt:variant>
    </vt:vector>
  </HeadingPairs>
  <TitlesOfParts>
    <vt:vector size="12" baseType="lpstr">
      <vt:lpstr>A-Recurrent glioblastoma</vt:lpstr>
      <vt:lpstr>A-Newly diagnose glioblastomas </vt:lpstr>
      <vt:lpstr>B- Brain metastases</vt:lpstr>
      <vt:lpstr>Treatment groups</vt:lpstr>
      <vt:lpstr>Ark1</vt:lpstr>
      <vt:lpstr>Ark2</vt:lpstr>
      <vt:lpstr>'A-Newly diagnose glioblastomas '!Utskriftsområde</vt:lpstr>
      <vt:lpstr>'A-Recurrent glioblastoma'!Utskriftsområde</vt:lpstr>
      <vt:lpstr>'B- Brain metastases'!Utskriftsområde</vt:lpstr>
      <vt:lpstr>'A-Newly diagnose glioblastomas '!Utskriftstitler</vt:lpstr>
      <vt:lpstr>'A-Recurrent glioblastoma'!Utskriftstitler</vt:lpstr>
      <vt:lpstr>'B- Brain metastases'!Utskriftstitler</vt:lpstr>
    </vt:vector>
  </TitlesOfParts>
  <Company>RR HF</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Kirsten Thorin Hagene</dc:creator>
  <cp:lastModifiedBy>Catharina Maria van der Lelie Granlund</cp:lastModifiedBy>
  <cp:lastPrinted>2019-01-24T07:37:40Z</cp:lastPrinted>
  <dcterms:created xsi:type="dcterms:W3CDTF">2011-11-09T11:55:24Z</dcterms:created>
  <dcterms:modified xsi:type="dcterms:W3CDTF">2020-03-11T14:24:42Z</dcterms:modified>
</cp:coreProperties>
</file>